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DCF5D79-39CA-42B2-B770-EF9DFC3553F9}" xr6:coauthVersionLast="36" xr6:coauthVersionMax="36" xr10:uidLastSave="{00000000-0000-0000-0000-000000000000}"/>
  <bookViews>
    <workbookView xWindow="0" yWindow="0" windowWidth="28800" windowHeight="12000" tabRatio="881" xr2:uid="{00000000-000D-0000-FFFF-FFFF00000000}"/>
  </bookViews>
  <sheets>
    <sheet name=" بهای خدمات حمل‌ونقل دانش‌آموز1" sheetId="9" r:id="rId1"/>
    <sheet name=" بهای خدمات حمل‌ونقل دانش‌آموز2" sheetId="10" r:id="rId2"/>
    <sheet name=" بهای خدمات حمل‌ونقل دانش‌آموز3" sheetId="1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0" l="1"/>
  <c r="G6" i="11" l="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5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5" i="10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5" i="9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F6" i="9" l="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I5" i="9"/>
  <c r="H5" i="9"/>
  <c r="E18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9" i="9"/>
  <c r="E20" i="9"/>
  <c r="E21" i="9"/>
  <c r="E22" i="9"/>
  <c r="J20" i="9" l="1"/>
  <c r="J16" i="9"/>
  <c r="J8" i="9"/>
  <c r="J10" i="9"/>
  <c r="K10" i="9" s="1"/>
  <c r="L10" i="9" s="1"/>
  <c r="M10" i="9" s="1"/>
  <c r="J5" i="9"/>
  <c r="J22" i="9"/>
  <c r="K22" i="9" s="1"/>
  <c r="L22" i="9" s="1"/>
  <c r="M22" i="9" s="1"/>
  <c r="J7" i="9"/>
  <c r="J18" i="9"/>
  <c r="K18" i="9" s="1"/>
  <c r="L18" i="9" s="1"/>
  <c r="M18" i="9" s="1"/>
  <c r="J17" i="9"/>
  <c r="K17" i="9" s="1"/>
  <c r="L17" i="9" s="1"/>
  <c r="M17" i="9" s="1"/>
  <c r="J14" i="9"/>
  <c r="J12" i="9"/>
  <c r="K12" i="9" s="1"/>
  <c r="J15" i="9"/>
  <c r="K15" i="9" s="1"/>
  <c r="L15" i="9" s="1"/>
  <c r="M15" i="9" s="1"/>
  <c r="K20" i="9"/>
  <c r="L20" i="9" s="1"/>
  <c r="M20" i="9" s="1"/>
  <c r="K16" i="9"/>
  <c r="L16" i="9" s="1"/>
  <c r="M16" i="9" s="1"/>
  <c r="K8" i="9"/>
  <c r="L8" i="9" s="1"/>
  <c r="M8" i="9" s="1"/>
  <c r="J21" i="9"/>
  <c r="J13" i="9"/>
  <c r="J9" i="9"/>
  <c r="J19" i="9"/>
  <c r="J11" i="9"/>
  <c r="J6" i="9"/>
  <c r="K5" i="9" l="1"/>
  <c r="L5" i="9" s="1"/>
  <c r="M5" i="9" s="1"/>
  <c r="L12" i="9"/>
  <c r="M12" i="9" s="1"/>
  <c r="K7" i="9"/>
  <c r="L7" i="9" s="1"/>
  <c r="M7" i="9" s="1"/>
  <c r="K14" i="9"/>
  <c r="L14" i="9" s="1"/>
  <c r="M14" i="9" s="1"/>
  <c r="K6" i="9"/>
  <c r="L6" i="9" s="1"/>
  <c r="M6" i="9" s="1"/>
  <c r="K11" i="9"/>
  <c r="L11" i="9" s="1"/>
  <c r="M11" i="9" s="1"/>
  <c r="K9" i="9"/>
  <c r="L9" i="9" s="1"/>
  <c r="M9" i="9" s="1"/>
  <c r="K19" i="9"/>
  <c r="L19" i="9" s="1"/>
  <c r="M19" i="9" s="1"/>
  <c r="K13" i="9"/>
  <c r="L13" i="9" s="1"/>
  <c r="M13" i="9" s="1"/>
  <c r="K21" i="9"/>
  <c r="L21" i="9" s="1"/>
  <c r="M21" i="9" s="1"/>
  <c r="I22" i="11" l="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J5" i="10" l="1"/>
  <c r="J21" i="10"/>
  <c r="J6" i="10"/>
  <c r="J10" i="10"/>
  <c r="J14" i="10"/>
  <c r="J18" i="10"/>
  <c r="J19" i="10"/>
  <c r="J5" i="11"/>
  <c r="J7" i="11"/>
  <c r="J11" i="11"/>
  <c r="J15" i="11"/>
  <c r="J19" i="11"/>
  <c r="J8" i="11"/>
  <c r="J12" i="11"/>
  <c r="J16" i="11"/>
  <c r="J20" i="11"/>
  <c r="J9" i="11"/>
  <c r="J10" i="11"/>
  <c r="J13" i="11"/>
  <c r="J17" i="11"/>
  <c r="J21" i="11"/>
  <c r="J6" i="11"/>
  <c r="J14" i="11"/>
  <c r="J18" i="11"/>
  <c r="J22" i="11"/>
  <c r="J7" i="10"/>
  <c r="J11" i="10"/>
  <c r="J15" i="10"/>
  <c r="J8" i="10"/>
  <c r="J12" i="10"/>
  <c r="J16" i="10"/>
  <c r="J22" i="10"/>
  <c r="J9" i="10"/>
  <c r="J13" i="10"/>
  <c r="J17" i="10"/>
  <c r="J20" i="10"/>
  <c r="K22" i="11" l="1"/>
  <c r="K21" i="11"/>
  <c r="K9" i="11"/>
  <c r="K8" i="11"/>
  <c r="K18" i="11"/>
  <c r="K17" i="11"/>
  <c r="K20" i="11"/>
  <c r="K19" i="11"/>
  <c r="K5" i="11"/>
  <c r="K14" i="11"/>
  <c r="K13" i="11"/>
  <c r="K16" i="11"/>
  <c r="K15" i="11"/>
  <c r="K6" i="11"/>
  <c r="K10" i="11"/>
  <c r="K12" i="11"/>
  <c r="K11" i="11"/>
  <c r="K7" i="11"/>
  <c r="K13" i="10"/>
  <c r="L13" i="10" s="1"/>
  <c r="M13" i="10" s="1"/>
  <c r="K7" i="10"/>
  <c r="L7" i="10" s="1"/>
  <c r="M7" i="10" s="1"/>
  <c r="K9" i="10"/>
  <c r="L9" i="10" s="1"/>
  <c r="M9" i="10" s="1"/>
  <c r="K8" i="10"/>
  <c r="L8" i="10" s="1"/>
  <c r="M8" i="10" s="1"/>
  <c r="K14" i="10"/>
  <c r="L14" i="10" s="1"/>
  <c r="M14" i="10" s="1"/>
  <c r="K20" i="10"/>
  <c r="L20" i="10" s="1"/>
  <c r="M20" i="10" s="1"/>
  <c r="K22" i="10"/>
  <c r="L22" i="10" s="1"/>
  <c r="M22" i="10" s="1"/>
  <c r="K15" i="10"/>
  <c r="L15" i="10" s="1"/>
  <c r="M15" i="10" s="1"/>
  <c r="K10" i="10"/>
  <c r="L10" i="10" s="1"/>
  <c r="M10" i="10" s="1"/>
  <c r="K17" i="10"/>
  <c r="L17" i="10" s="1"/>
  <c r="M17" i="10" s="1"/>
  <c r="K16" i="10"/>
  <c r="L16" i="10" s="1"/>
  <c r="M16" i="10" s="1"/>
  <c r="K11" i="10"/>
  <c r="L11" i="10" s="1"/>
  <c r="M11" i="10" s="1"/>
  <c r="K19" i="10"/>
  <c r="L19" i="10" s="1"/>
  <c r="M19" i="10" s="1"/>
  <c r="K6" i="10"/>
  <c r="L6" i="10" s="1"/>
  <c r="M6" i="10" s="1"/>
  <c r="K21" i="10"/>
  <c r="L21" i="10" s="1"/>
  <c r="M21" i="10" s="1"/>
  <c r="K12" i="10"/>
  <c r="L12" i="10" s="1"/>
  <c r="M12" i="10" s="1"/>
  <c r="K18" i="10"/>
  <c r="L18" i="10" s="1"/>
  <c r="M18" i="10" s="1"/>
  <c r="K5" i="10"/>
  <c r="L5" i="10" s="1"/>
  <c r="M5" i="10" s="1"/>
  <c r="L12" i="11" l="1"/>
  <c r="M12" i="11" s="1"/>
  <c r="L8" i="11"/>
  <c r="M8" i="11" s="1"/>
  <c r="L10" i="11"/>
  <c r="M10" i="11" s="1"/>
  <c r="L13" i="11"/>
  <c r="M13" i="11" s="1"/>
  <c r="L20" i="11"/>
  <c r="M20" i="11" s="1"/>
  <c r="L9" i="11"/>
  <c r="M9" i="11" s="1"/>
  <c r="L16" i="11"/>
  <c r="M16" i="11" s="1"/>
  <c r="L7" i="11"/>
  <c r="M7" i="11" s="1"/>
  <c r="L6" i="11"/>
  <c r="M6" i="11" s="1"/>
  <c r="L14" i="11"/>
  <c r="M14" i="11" s="1"/>
  <c r="L17" i="11"/>
  <c r="M17" i="11" s="1"/>
  <c r="L21" i="11"/>
  <c r="M21" i="11" s="1"/>
  <c r="L19" i="11"/>
  <c r="M19" i="11" s="1"/>
  <c r="L11" i="11"/>
  <c r="M11" i="11" s="1"/>
  <c r="L15" i="11"/>
  <c r="M15" i="11" s="1"/>
  <c r="L5" i="11"/>
  <c r="M5" i="11" s="1"/>
  <c r="L18" i="11"/>
  <c r="M18" i="11" s="1"/>
  <c r="L22" i="11"/>
  <c r="M22" i="11" s="1"/>
</calcChain>
</file>

<file path=xl/sharedStrings.xml><?xml version="1.0" encoding="utf-8"?>
<sst xmlns="http://schemas.openxmlformats.org/spreadsheetml/2006/main" count="51" uniqueCount="27">
  <si>
    <t>ردیف</t>
  </si>
  <si>
    <t>مسافت (کیلومتر)</t>
  </si>
  <si>
    <t>ضریب رشد</t>
  </si>
  <si>
    <t>اطلاع رسانی و هماهنگی
(1% بهای خدمات راننده)</t>
  </si>
  <si>
    <t>بالاسری شرکت پیمانکار
(7% بهای خدمات راننده)</t>
  </si>
  <si>
    <t>جمع هزینه‌های ماهیانه</t>
  </si>
  <si>
    <t>جمع هزینه‌های نه‌ماهه</t>
  </si>
  <si>
    <t>2- مسافت سرویس برای هر دانش آموز به صورت میانگین مسير رفت و برگشت منزل تا آموزشگاه محاسبه می‌شود.
3- به سازمان مديريت و نظارت بر تاكسيراني اجازه داده مي‌شود در مدارس نواحی  2، 5 و 7 آموزش‌وپرورش 10% و در نواحی 3، 4 و 6 آموزش‌وپرورش 25% به عنوان ضریب ترافیک به ستون بهای خدمات راننده اضافه نماید.</t>
  </si>
  <si>
    <t>تسهیم بهای گواهی صلاحیت (به ازا هر دانش آموز)</t>
  </si>
  <si>
    <t>بهای خدمات راننده
(1405)</t>
  </si>
  <si>
    <t>بهای خدمات راننده
(1404)</t>
  </si>
  <si>
    <t>بهای خدمات ماهیانه 
(پرداختی اولیاء)</t>
  </si>
  <si>
    <t xml:space="preserve"> بهای خدمات حمل‌ونقل دانش‌آموزی با خودروهای پراید، آردی  و روآ در سال تحصیلی 06-1405(مبلغ به ریال)</t>
  </si>
  <si>
    <t>تسهیم بهای گواهی صلاحیت (به ازاء هر دانش‎آموز)</t>
  </si>
  <si>
    <t>اطلاع‎رسانی و هماهنگی
(1% بهای خدمات راننده)</t>
  </si>
  <si>
    <t xml:space="preserve"> بهای خدمات سرویس مدرسه با خودروهای سمند، اطلس، کوئیک، تیبا و مشابه در سال تحصیلی 06-1405(مبلغ به ریال)</t>
  </si>
  <si>
    <t>ادامه 4- بهای خدمات (کرایه) حمل‎ونقل دانش‎آموزان</t>
  </si>
  <si>
    <t>4- بهای خدمات (کرایه) حمل‎ونقل دانش‎آموزان</t>
  </si>
  <si>
    <t>توضیحات جدول شماره 4:
1- نرخ کرایه برای مسافت بالاتر از 20 کیلومتر، به ازای هر کیلومتر بیشتر برای خودروهای پراید، آردی و روآ به میزان 680.000 ریال، برای خودروهای سمند، اطلس، کوئیک، تیبا و مشابه به میزان 820.000 ریال و برای خودروهای ون و مینی‌بوس به میزان 580.000 ریال می‌باشد.</t>
  </si>
  <si>
    <t xml:space="preserve"> بهای خدمات سرویس مدرسه با خودروی ون و مینی بوس در سال تحصیلی 06-1405(مبلغ به ریال)</t>
  </si>
  <si>
    <t>بیمه تأمین اجتماعی
(7.8% هزینه‎های ماهیانه)</t>
  </si>
  <si>
    <r>
      <t>مدیریت، نظارت و بازرسی
(</t>
    </r>
    <r>
      <rPr>
        <b/>
        <sz val="12"/>
        <color theme="9" tint="-0.249977111117893"/>
        <rFont val="B Nazanin"/>
        <charset val="178"/>
      </rPr>
      <t>3%</t>
    </r>
    <r>
      <rPr>
        <b/>
        <sz val="12"/>
        <rFont val="B Nazanin"/>
        <charset val="178"/>
      </rPr>
      <t xml:space="preserve"> بهای خدمات راننده)</t>
    </r>
  </si>
  <si>
    <t>6- تسهیم ضریب اطلاع رسانی و هماهنگی  بین ذینفعان با نظر شورای ترافیک شهرستان مشهد مقدس صورت خواهد پذیرفت.</t>
  </si>
  <si>
    <t>4- بهای خدمات صدور گواهی صلاحیت رانندگان سرویس مدارس 10.000.000 ریال می‌باشد که از سوی شرکت پیمانکار مطابق با جدول فوق از اولیا اخذ و به سازمان پرداخت می‌گردد.</t>
  </si>
  <si>
    <t>مدیریت، نظارت و بازرسی
(3% بهای خدمات راننده)</t>
  </si>
  <si>
    <t>5- در حوزه سرویس حمل‌ونقل دانش‌آموزان استثنائی و توانیابان فنی وحرفه‌ای:
1-5- شهرداری مشهد مقدس مکلف است به منظور فراهم نمودن زمینه ادامه تحصیل دانش‎آموزان مدارس استثنائی و توان‌یابان فنی و حرفه‌ای نسبت به انعقاد تفاهمنامه برای مشارکت در تأمین و پرداخت هزینه‎های حمل‎ونقل(به نحوی که سهم شهرداری، اداره آموزش و پرورش استثنائی استان و اولیاء دانش‎آموزان بصورت مساوی برابر یک سوم باشد.) مشروط به پیگیری وصول مطالبات از دولت اقدام نماید.
2-5- شهرداری مشهد مقدس مکلف است به منظور فراهم نمودن زمینه ادامه تحصیل توان‎یابان فنی و حرفه‎ای نسبت به انعقاد تفاهمنامه برای مشارکت در تأمین بخشی از هزینه‎های حمل‎‌‌و‌نقل این دسته از توانیابان به میزان حداکثر هفت میلیارد ریال اقدام نماید. 
3-5- صرفاً بهای خدمات راننده با اعمال ضریب 1.2 محاسبه خواهد گردید.
4-5- ضریب مدیریت، نظارت و بازرسی و ضریب اطلاع‌رسانی و هماهنگی، همچنین بهای گواهی صلاحیت محاسبه نخواهد شد.
5-5- ضریب بالاسری شرکت به بهای خدمات راننده وفق جدول فوق(بدون اعمال ضریب 1.2) تعلق خواهد گرفت.</t>
  </si>
  <si>
    <t>4-1- برای تاکسیرانان دارای پروانه تاکسیرانی و بهره‌برداری معتبر این رقم با 90% تخفیف لحاظ می‌گردد.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</si>
</sst>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#,##0_-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  <font>
      <sz val="11"/>
      <color theme="1"/>
      <name val="Calibri"/>
      <family val="2"/>
      <scheme val="minor"/>
    </font>
    <font>
      <sz val="12"/>
      <name val="B Nazanin"/>
      <charset val="178"/>
    </font>
    <font>
      <b/>
      <sz val="12"/>
      <color theme="1"/>
      <name val="B Nazanin"/>
      <charset val="178"/>
    </font>
    <font>
      <b/>
      <sz val="12"/>
      <color theme="1"/>
      <name val="B Titr"/>
      <charset val="178"/>
    </font>
    <font>
      <b/>
      <sz val="12"/>
      <name val="B Titr"/>
      <charset val="178"/>
    </font>
    <font>
      <b/>
      <sz val="12"/>
      <name val="B Nazanin"/>
      <charset val="178"/>
    </font>
    <font>
      <b/>
      <sz val="14"/>
      <color theme="1"/>
      <name val="B Nazanin"/>
      <charset val="17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B Titr"/>
      <charset val="178"/>
    </font>
    <font>
      <b/>
      <sz val="12"/>
      <color theme="9" tint="-0.249977111117893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3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8" fillId="4" borderId="1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5" fillId="4" borderId="16" xfId="0" applyFont="1" applyFill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165" fontId="2" fillId="0" borderId="16" xfId="0" applyNumberFormat="1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167" fontId="9" fillId="0" borderId="16" xfId="3" applyNumberFormat="1" applyFont="1" applyFill="1" applyBorder="1" applyAlignment="1">
      <alignment horizontal="center" vertical="center" wrapText="1"/>
    </xf>
    <xf numFmtId="165" fontId="9" fillId="0" borderId="5" xfId="0" applyNumberFormat="1" applyFont="1" applyFill="1" applyBorder="1" applyAlignment="1">
      <alignment horizontal="center" vertical="center" wrapText="1"/>
    </xf>
    <xf numFmtId="165" fontId="9" fillId="0" borderId="34" xfId="0" applyNumberFormat="1" applyFont="1" applyFill="1" applyBorder="1" applyAlignment="1">
      <alignment horizontal="center" vertical="center" wrapText="1"/>
    </xf>
    <xf numFmtId="165" fontId="9" fillId="0" borderId="22" xfId="0" applyNumberFormat="1" applyFont="1" applyFill="1" applyBorder="1" applyAlignment="1">
      <alignment horizontal="center" vertical="center" wrapText="1"/>
    </xf>
    <xf numFmtId="165" fontId="9" fillId="0" borderId="18" xfId="0" applyNumberFormat="1" applyFont="1" applyBorder="1" applyAlignment="1">
      <alignment horizontal="center" vertical="center" wrapText="1"/>
    </xf>
    <xf numFmtId="165" fontId="9" fillId="0" borderId="19" xfId="0" applyNumberFormat="1" applyFont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center" vertical="center" wrapText="1"/>
    </xf>
    <xf numFmtId="165" fontId="9" fillId="0" borderId="4" xfId="0" applyNumberFormat="1" applyFont="1" applyFill="1" applyBorder="1" applyAlignment="1">
      <alignment horizontal="center" vertical="center" wrapText="1"/>
    </xf>
    <xf numFmtId="165" fontId="9" fillId="0" borderId="16" xfId="0" applyNumberFormat="1" applyFont="1" applyFill="1" applyBorder="1" applyAlignment="1">
      <alignment horizontal="center" vertical="center" wrapText="1"/>
    </xf>
    <xf numFmtId="165" fontId="9" fillId="0" borderId="6" xfId="0" applyNumberFormat="1" applyFont="1" applyFill="1" applyBorder="1" applyAlignment="1">
      <alignment horizontal="center" vertical="center" wrapText="1"/>
    </xf>
    <xf numFmtId="165" fontId="9" fillId="0" borderId="20" xfId="0" applyNumberFormat="1" applyFont="1" applyBorder="1" applyAlignment="1">
      <alignment horizontal="center" vertical="center" wrapText="1"/>
    </xf>
    <xf numFmtId="165" fontId="9" fillId="0" borderId="7" xfId="0" applyNumberFormat="1" applyFont="1" applyFill="1" applyBorder="1" applyAlignment="1">
      <alignment horizontal="center" vertical="center" wrapText="1"/>
    </xf>
    <xf numFmtId="165" fontId="9" fillId="0" borderId="33" xfId="0" applyNumberFormat="1" applyFont="1" applyFill="1" applyBorder="1" applyAlignment="1">
      <alignment horizontal="center" vertical="center" wrapText="1"/>
    </xf>
    <xf numFmtId="167" fontId="9" fillId="0" borderId="33" xfId="3" applyNumberFormat="1" applyFont="1" applyFill="1" applyBorder="1" applyAlignment="1">
      <alignment horizontal="center" vertical="center" wrapText="1"/>
    </xf>
    <xf numFmtId="165" fontId="9" fillId="0" borderId="8" xfId="0" applyNumberFormat="1" applyFont="1" applyFill="1" applyBorder="1" applyAlignment="1">
      <alignment horizontal="center" vertical="center" wrapText="1"/>
    </xf>
    <xf numFmtId="165" fontId="9" fillId="0" borderId="21" xfId="0" applyNumberFormat="1" applyFont="1" applyFill="1" applyBorder="1" applyAlignment="1">
      <alignment horizontal="center" vertical="center" wrapText="1"/>
    </xf>
    <xf numFmtId="165" fontId="9" fillId="0" borderId="32" xfId="0" applyNumberFormat="1" applyFont="1" applyBorder="1" applyAlignment="1">
      <alignment horizontal="center" vertical="center" wrapText="1"/>
    </xf>
    <xf numFmtId="165" fontId="9" fillId="0" borderId="36" xfId="0" applyNumberFormat="1" applyFont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  <xf numFmtId="167" fontId="9" fillId="0" borderId="14" xfId="3" applyNumberFormat="1" applyFont="1" applyFill="1" applyBorder="1" applyAlignment="1">
      <alignment horizontal="center" vertical="center" wrapText="1"/>
    </xf>
    <xf numFmtId="165" fontId="9" fillId="0" borderId="2" xfId="0" applyNumberFormat="1" applyFont="1" applyFill="1" applyBorder="1" applyAlignment="1">
      <alignment horizontal="center" vertical="center" wrapText="1"/>
    </xf>
    <xf numFmtId="165" fontId="9" fillId="0" borderId="3" xfId="0" applyNumberFormat="1" applyFont="1" applyFill="1" applyBorder="1" applyAlignment="1">
      <alignment horizontal="center" vertical="center" wrapText="1"/>
    </xf>
    <xf numFmtId="165" fontId="9" fillId="0" borderId="26" xfId="0" applyNumberFormat="1" applyFont="1" applyBorder="1" applyAlignment="1">
      <alignment horizontal="center" vertical="center" wrapText="1"/>
    </xf>
    <xf numFmtId="165" fontId="9" fillId="0" borderId="37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right" vertical="center" wrapText="1" readingOrder="2"/>
    </xf>
    <xf numFmtId="0" fontId="2" fillId="0" borderId="0" xfId="0" applyFont="1" applyBorder="1" applyAlignment="1">
      <alignment horizontal="right" vertical="center" wrapText="1" readingOrder="2"/>
    </xf>
    <xf numFmtId="0" fontId="4" fillId="0" borderId="13" xfId="0" applyFont="1" applyBorder="1" applyAlignment="1">
      <alignment horizontal="right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4" fillId="0" borderId="13" xfId="0" applyFont="1" applyFill="1" applyBorder="1" applyAlignment="1">
      <alignment horizontal="right" vertical="center" wrapText="1" readingOrder="2"/>
    </xf>
    <xf numFmtId="0" fontId="4" fillId="0" borderId="0" xfId="0" applyFont="1" applyFill="1" applyBorder="1" applyAlignment="1">
      <alignment horizontal="right" vertical="center" wrapText="1" readingOrder="2"/>
    </xf>
    <xf numFmtId="0" fontId="12" fillId="0" borderId="29" xfId="0" applyFont="1" applyFill="1" applyBorder="1" applyAlignment="1">
      <alignment horizontal="center" vertical="center" wrapText="1" readingOrder="2"/>
    </xf>
    <xf numFmtId="0" fontId="12" fillId="0" borderId="30" xfId="0" applyFont="1" applyFill="1" applyBorder="1" applyAlignment="1">
      <alignment horizontal="center" vertical="center" wrapText="1" readingOrder="2"/>
    </xf>
    <xf numFmtId="0" fontId="4" fillId="0" borderId="10" xfId="0" applyFont="1" applyBorder="1" applyAlignment="1">
      <alignment horizontal="right" vertical="center" wrapText="1" readingOrder="2"/>
    </xf>
    <xf numFmtId="0" fontId="4" fillId="0" borderId="11" xfId="0" applyFont="1" applyBorder="1" applyAlignment="1">
      <alignment horizontal="right" vertical="center" wrapText="1" readingOrder="2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 readingOrder="2"/>
    </xf>
    <xf numFmtId="0" fontId="12" fillId="0" borderId="30" xfId="0" applyFont="1" applyBorder="1" applyAlignment="1">
      <alignment horizontal="center" vertical="center" wrapText="1" readingOrder="2"/>
    </xf>
    <xf numFmtId="0" fontId="9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Percent" xfId="3" builtinId="5"/>
    <cellStyle name="Percent 2" xfId="2" xr:uid="{00000000-0005-0000-0000-000005000000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M29"/>
  <sheetViews>
    <sheetView rightToLeft="1" tabSelected="1" view="pageBreakPreview" zoomScale="90" zoomScaleNormal="90" zoomScaleSheetLayoutView="90" workbookViewId="0">
      <selection activeCell="J8" sqref="J8"/>
    </sheetView>
  </sheetViews>
  <sheetFormatPr defaultColWidth="8.7109375" defaultRowHeight="15" x14ac:dyDescent="0.25"/>
  <cols>
    <col min="1" max="1" width="8.42578125" style="1" customWidth="1"/>
    <col min="2" max="2" width="15" style="1" bestFit="1" customWidth="1"/>
    <col min="3" max="3" width="15" style="1" hidden="1" customWidth="1"/>
    <col min="4" max="4" width="16.5703125" style="1" bestFit="1" customWidth="1"/>
    <col min="5" max="5" width="8.7109375" style="1" hidden="1" customWidth="1"/>
    <col min="6" max="6" width="19.42578125" style="8" customWidth="1"/>
    <col min="7" max="7" width="21.7109375" style="2" bestFit="1" customWidth="1"/>
    <col min="8" max="9" width="20.7109375" style="1" bestFit="1" customWidth="1"/>
    <col min="10" max="10" width="20.42578125" style="1" bestFit="1" customWidth="1"/>
    <col min="11" max="11" width="22.7109375" style="1" customWidth="1"/>
    <col min="12" max="12" width="19.42578125" style="1" bestFit="1" customWidth="1"/>
    <col min="13" max="13" width="30.28515625" style="1" bestFit="1" customWidth="1"/>
    <col min="14" max="16384" width="8.7109375" style="1"/>
  </cols>
  <sheetData>
    <row r="1" spans="1:13" ht="39" customHeight="1" thickBot="1" x14ac:dyDescent="0.3">
      <c r="A1" s="56" t="s">
        <v>17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7.25" customHeight="1" x14ac:dyDescent="0.25">
      <c r="A2" s="60" t="s">
        <v>0</v>
      </c>
      <c r="B2" s="60" t="s">
        <v>1</v>
      </c>
      <c r="C2" s="62" t="s">
        <v>12</v>
      </c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3" ht="27" customHeight="1" x14ac:dyDescent="0.25">
      <c r="A3" s="60"/>
      <c r="B3" s="60"/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ht="61.5" customHeight="1" thickBot="1" x14ac:dyDescent="0.3">
      <c r="A4" s="61"/>
      <c r="B4" s="61"/>
      <c r="C4" s="3" t="s">
        <v>10</v>
      </c>
      <c r="D4" s="18" t="s">
        <v>9</v>
      </c>
      <c r="E4" s="18" t="s">
        <v>2</v>
      </c>
      <c r="F4" s="19" t="s">
        <v>13</v>
      </c>
      <c r="G4" s="18" t="s">
        <v>24</v>
      </c>
      <c r="H4" s="20" t="s">
        <v>14</v>
      </c>
      <c r="I4" s="20" t="s">
        <v>4</v>
      </c>
      <c r="J4" s="20" t="s">
        <v>5</v>
      </c>
      <c r="K4" s="20" t="s">
        <v>20</v>
      </c>
      <c r="L4" s="20" t="s">
        <v>6</v>
      </c>
      <c r="M4" s="21" t="s">
        <v>11</v>
      </c>
    </row>
    <row r="5" spans="1:13" s="4" customFormat="1" ht="33.75" customHeight="1" x14ac:dyDescent="0.25">
      <c r="A5" s="30">
        <v>1</v>
      </c>
      <c r="B5" s="30">
        <v>3</v>
      </c>
      <c r="C5" s="10">
        <v>7000000</v>
      </c>
      <c r="D5" s="17">
        <v>10000000</v>
      </c>
      <c r="E5" s="26">
        <f t="shared" ref="E5:E22" si="0">D5/C5-1</f>
        <v>0.4285714285714286</v>
      </c>
      <c r="F5" s="27">
        <f>10000000/9.6/9</f>
        <v>115740.74074074074</v>
      </c>
      <c r="G5" s="27">
        <f>D5*0.03</f>
        <v>300000</v>
      </c>
      <c r="H5" s="27">
        <f>D5*0.01</f>
        <v>100000</v>
      </c>
      <c r="I5" s="27">
        <f>D5*0.07</f>
        <v>700000.00000000012</v>
      </c>
      <c r="J5" s="27">
        <f>I5+H5+G5+D5+F5</f>
        <v>11215740.740740741</v>
      </c>
      <c r="K5" s="27">
        <f>7.8%*J5</f>
        <v>874827.77777777775</v>
      </c>
      <c r="L5" s="27">
        <f>(J5+K5)*9</f>
        <v>108815116.66666667</v>
      </c>
      <c r="M5" s="28">
        <f>L5/9</f>
        <v>12090568.518518519</v>
      </c>
    </row>
    <row r="6" spans="1:13" s="4" customFormat="1" ht="33.75" customHeight="1" x14ac:dyDescent="0.25">
      <c r="A6" s="31">
        <v>2</v>
      </c>
      <c r="B6" s="31">
        <v>4</v>
      </c>
      <c r="C6" s="11">
        <v>8000000</v>
      </c>
      <c r="D6" s="17">
        <v>11000000</v>
      </c>
      <c r="E6" s="26">
        <f t="shared" si="0"/>
        <v>0.375</v>
      </c>
      <c r="F6" s="27">
        <f t="shared" ref="F6:F22" si="1">10000000/9.6/9</f>
        <v>115740.74074074074</v>
      </c>
      <c r="G6" s="27">
        <f t="shared" ref="G6:G22" si="2">D6*0.03</f>
        <v>330000</v>
      </c>
      <c r="H6" s="27">
        <f t="shared" ref="H6:H22" si="3">D6*0.01</f>
        <v>110000</v>
      </c>
      <c r="I6" s="27">
        <f t="shared" ref="I6:I22" si="4">D6*0.07</f>
        <v>770000.00000000012</v>
      </c>
      <c r="J6" s="27">
        <f t="shared" ref="J6:J22" si="5">I6+H6+G6+D6+F6</f>
        <v>12325740.740740741</v>
      </c>
      <c r="K6" s="27">
        <f t="shared" ref="K6:K22" si="6">7.8%*J6</f>
        <v>961407.77777777775</v>
      </c>
      <c r="L6" s="27">
        <f t="shared" ref="L6:L22" si="7">(J6+K6)*9</f>
        <v>119584336.66666667</v>
      </c>
      <c r="M6" s="28">
        <f t="shared" ref="M6:M22" si="8">L6/9</f>
        <v>13287148.518518519</v>
      </c>
    </row>
    <row r="7" spans="1:13" s="4" customFormat="1" ht="33.75" customHeight="1" x14ac:dyDescent="0.25">
      <c r="A7" s="31">
        <v>3</v>
      </c>
      <c r="B7" s="31">
        <v>5</v>
      </c>
      <c r="C7" s="11">
        <v>9000000</v>
      </c>
      <c r="D7" s="17">
        <v>12500000</v>
      </c>
      <c r="E7" s="26">
        <f t="shared" si="0"/>
        <v>0.38888888888888884</v>
      </c>
      <c r="F7" s="27">
        <f t="shared" si="1"/>
        <v>115740.74074074074</v>
      </c>
      <c r="G7" s="27">
        <f t="shared" si="2"/>
        <v>375000</v>
      </c>
      <c r="H7" s="27">
        <f t="shared" si="3"/>
        <v>125000</v>
      </c>
      <c r="I7" s="27">
        <f t="shared" si="4"/>
        <v>875000.00000000012</v>
      </c>
      <c r="J7" s="27">
        <f t="shared" si="5"/>
        <v>13990740.740740741</v>
      </c>
      <c r="K7" s="27">
        <f t="shared" si="6"/>
        <v>1091277.7777777778</v>
      </c>
      <c r="L7" s="27">
        <f t="shared" si="7"/>
        <v>135738166.66666666</v>
      </c>
      <c r="M7" s="28">
        <f t="shared" si="8"/>
        <v>15082018.518518517</v>
      </c>
    </row>
    <row r="8" spans="1:13" s="4" customFormat="1" ht="33.75" customHeight="1" x14ac:dyDescent="0.25">
      <c r="A8" s="31">
        <v>4</v>
      </c>
      <c r="B8" s="31">
        <v>6</v>
      </c>
      <c r="C8" s="11">
        <v>9700000</v>
      </c>
      <c r="D8" s="17">
        <v>13500000</v>
      </c>
      <c r="E8" s="26">
        <f t="shared" si="0"/>
        <v>0.39175257731958757</v>
      </c>
      <c r="F8" s="27">
        <f t="shared" si="1"/>
        <v>115740.74074074074</v>
      </c>
      <c r="G8" s="27">
        <f t="shared" si="2"/>
        <v>405000</v>
      </c>
      <c r="H8" s="27">
        <f t="shared" si="3"/>
        <v>135000</v>
      </c>
      <c r="I8" s="27">
        <f t="shared" si="4"/>
        <v>945000.00000000012</v>
      </c>
      <c r="J8" s="27">
        <f t="shared" si="5"/>
        <v>15100740.740740741</v>
      </c>
      <c r="K8" s="27">
        <f t="shared" si="6"/>
        <v>1177857.7777777778</v>
      </c>
      <c r="L8" s="27">
        <f t="shared" si="7"/>
        <v>146507386.66666666</v>
      </c>
      <c r="M8" s="28">
        <f t="shared" si="8"/>
        <v>16278598.518518517</v>
      </c>
    </row>
    <row r="9" spans="1:13" s="4" customFormat="1" ht="33.75" customHeight="1" x14ac:dyDescent="0.25">
      <c r="A9" s="31">
        <v>5</v>
      </c>
      <c r="B9" s="31">
        <v>7</v>
      </c>
      <c r="C9" s="11">
        <v>10400000</v>
      </c>
      <c r="D9" s="17">
        <v>14500000</v>
      </c>
      <c r="E9" s="26">
        <f t="shared" si="0"/>
        <v>0.39423076923076916</v>
      </c>
      <c r="F9" s="27">
        <f t="shared" si="1"/>
        <v>115740.74074074074</v>
      </c>
      <c r="G9" s="27">
        <f t="shared" si="2"/>
        <v>435000</v>
      </c>
      <c r="H9" s="27">
        <f t="shared" si="3"/>
        <v>145000</v>
      </c>
      <c r="I9" s="27">
        <f t="shared" si="4"/>
        <v>1015000.0000000001</v>
      </c>
      <c r="J9" s="27">
        <f t="shared" si="5"/>
        <v>16210740.740740741</v>
      </c>
      <c r="K9" s="27">
        <f t="shared" si="6"/>
        <v>1264437.7777777778</v>
      </c>
      <c r="L9" s="27">
        <f t="shared" si="7"/>
        <v>157276606.66666666</v>
      </c>
      <c r="M9" s="28">
        <f t="shared" si="8"/>
        <v>17475178.518518519</v>
      </c>
    </row>
    <row r="10" spans="1:13" s="4" customFormat="1" ht="33.75" customHeight="1" x14ac:dyDescent="0.25">
      <c r="A10" s="31">
        <v>6</v>
      </c>
      <c r="B10" s="31">
        <v>8</v>
      </c>
      <c r="C10" s="11">
        <v>11100000</v>
      </c>
      <c r="D10" s="17">
        <v>15500000</v>
      </c>
      <c r="E10" s="26">
        <f t="shared" si="0"/>
        <v>0.39639639639639634</v>
      </c>
      <c r="F10" s="27">
        <f t="shared" si="1"/>
        <v>115740.74074074074</v>
      </c>
      <c r="G10" s="27">
        <f t="shared" si="2"/>
        <v>465000</v>
      </c>
      <c r="H10" s="27">
        <f t="shared" si="3"/>
        <v>155000</v>
      </c>
      <c r="I10" s="27">
        <f t="shared" si="4"/>
        <v>1085000</v>
      </c>
      <c r="J10" s="27">
        <f t="shared" si="5"/>
        <v>17320740.740740743</v>
      </c>
      <c r="K10" s="27">
        <f t="shared" si="6"/>
        <v>1351017.777777778</v>
      </c>
      <c r="L10" s="27">
        <f t="shared" si="7"/>
        <v>168045826.66666669</v>
      </c>
      <c r="M10" s="28">
        <f t="shared" si="8"/>
        <v>18671758.518518522</v>
      </c>
    </row>
    <row r="11" spans="1:13" s="4" customFormat="1" ht="33.75" customHeight="1" x14ac:dyDescent="0.25">
      <c r="A11" s="31">
        <v>7</v>
      </c>
      <c r="B11" s="31">
        <v>9</v>
      </c>
      <c r="C11" s="11">
        <v>11800000</v>
      </c>
      <c r="D11" s="17">
        <v>16500000</v>
      </c>
      <c r="E11" s="26">
        <f t="shared" si="0"/>
        <v>0.39830508474576276</v>
      </c>
      <c r="F11" s="27">
        <f t="shared" si="1"/>
        <v>115740.74074074074</v>
      </c>
      <c r="G11" s="27">
        <f t="shared" si="2"/>
        <v>495000</v>
      </c>
      <c r="H11" s="27">
        <f t="shared" si="3"/>
        <v>165000</v>
      </c>
      <c r="I11" s="27">
        <f t="shared" si="4"/>
        <v>1155000</v>
      </c>
      <c r="J11" s="27">
        <f t="shared" si="5"/>
        <v>18430740.740740743</v>
      </c>
      <c r="K11" s="27">
        <f t="shared" si="6"/>
        <v>1437597.777777778</v>
      </c>
      <c r="L11" s="27">
        <f t="shared" si="7"/>
        <v>178815046.66666669</v>
      </c>
      <c r="M11" s="28">
        <f t="shared" si="8"/>
        <v>19868338.518518522</v>
      </c>
    </row>
    <row r="12" spans="1:13" s="4" customFormat="1" ht="33.75" customHeight="1" x14ac:dyDescent="0.25">
      <c r="A12" s="31">
        <v>8</v>
      </c>
      <c r="B12" s="31">
        <v>10</v>
      </c>
      <c r="C12" s="11">
        <v>12500000</v>
      </c>
      <c r="D12" s="17">
        <v>17500000</v>
      </c>
      <c r="E12" s="26">
        <f t="shared" si="0"/>
        <v>0.39999999999999991</v>
      </c>
      <c r="F12" s="27">
        <f t="shared" si="1"/>
        <v>115740.74074074074</v>
      </c>
      <c r="G12" s="27">
        <f t="shared" si="2"/>
        <v>525000</v>
      </c>
      <c r="H12" s="27">
        <f t="shared" si="3"/>
        <v>175000</v>
      </c>
      <c r="I12" s="27">
        <f t="shared" si="4"/>
        <v>1225000.0000000002</v>
      </c>
      <c r="J12" s="27">
        <f t="shared" si="5"/>
        <v>19540740.740740743</v>
      </c>
      <c r="K12" s="27">
        <f t="shared" si="6"/>
        <v>1524177.777777778</v>
      </c>
      <c r="L12" s="27">
        <f t="shared" si="7"/>
        <v>189584266.66666669</v>
      </c>
      <c r="M12" s="28">
        <f t="shared" si="8"/>
        <v>21064918.518518522</v>
      </c>
    </row>
    <row r="13" spans="1:13" s="4" customFormat="1" ht="33.75" customHeight="1" x14ac:dyDescent="0.25">
      <c r="A13" s="31">
        <v>9</v>
      </c>
      <c r="B13" s="31">
        <v>11</v>
      </c>
      <c r="C13" s="11">
        <v>13150000</v>
      </c>
      <c r="D13" s="17">
        <v>18000000</v>
      </c>
      <c r="E13" s="26">
        <f t="shared" si="0"/>
        <v>0.36882129277566533</v>
      </c>
      <c r="F13" s="27">
        <f t="shared" si="1"/>
        <v>115740.74074074074</v>
      </c>
      <c r="G13" s="27">
        <f t="shared" si="2"/>
        <v>540000</v>
      </c>
      <c r="H13" s="27">
        <f t="shared" si="3"/>
        <v>180000</v>
      </c>
      <c r="I13" s="27">
        <f t="shared" si="4"/>
        <v>1260000.0000000002</v>
      </c>
      <c r="J13" s="27">
        <f t="shared" si="5"/>
        <v>20095740.740740743</v>
      </c>
      <c r="K13" s="27">
        <f t="shared" si="6"/>
        <v>1567467.777777778</v>
      </c>
      <c r="L13" s="27">
        <f t="shared" si="7"/>
        <v>194968876.66666669</v>
      </c>
      <c r="M13" s="28">
        <f t="shared" si="8"/>
        <v>21663208.518518522</v>
      </c>
    </row>
    <row r="14" spans="1:13" s="4" customFormat="1" ht="33.75" customHeight="1" x14ac:dyDescent="0.25">
      <c r="A14" s="31">
        <v>10</v>
      </c>
      <c r="B14" s="31">
        <v>12</v>
      </c>
      <c r="C14" s="11">
        <v>13800000</v>
      </c>
      <c r="D14" s="17">
        <v>19000000</v>
      </c>
      <c r="E14" s="26">
        <f t="shared" si="0"/>
        <v>0.37681159420289845</v>
      </c>
      <c r="F14" s="27">
        <f t="shared" si="1"/>
        <v>115740.74074074074</v>
      </c>
      <c r="G14" s="27">
        <f t="shared" si="2"/>
        <v>570000</v>
      </c>
      <c r="H14" s="27">
        <f t="shared" si="3"/>
        <v>190000</v>
      </c>
      <c r="I14" s="27">
        <f t="shared" si="4"/>
        <v>1330000.0000000002</v>
      </c>
      <c r="J14" s="27">
        <f t="shared" si="5"/>
        <v>21205740.740740743</v>
      </c>
      <c r="K14" s="27">
        <f t="shared" si="6"/>
        <v>1654047.777777778</v>
      </c>
      <c r="L14" s="27">
        <f t="shared" si="7"/>
        <v>205738096.66666669</v>
      </c>
      <c r="M14" s="28">
        <f t="shared" si="8"/>
        <v>22859788.518518522</v>
      </c>
    </row>
    <row r="15" spans="1:13" s="4" customFormat="1" ht="33.75" customHeight="1" x14ac:dyDescent="0.25">
      <c r="A15" s="31">
        <v>11</v>
      </c>
      <c r="B15" s="31">
        <v>13</v>
      </c>
      <c r="C15" s="11">
        <v>14450000</v>
      </c>
      <c r="D15" s="17">
        <v>20000000</v>
      </c>
      <c r="E15" s="26">
        <f t="shared" si="0"/>
        <v>0.38408304498269885</v>
      </c>
      <c r="F15" s="27">
        <f t="shared" si="1"/>
        <v>115740.74074074074</v>
      </c>
      <c r="G15" s="27">
        <f t="shared" si="2"/>
        <v>600000</v>
      </c>
      <c r="H15" s="27">
        <f t="shared" si="3"/>
        <v>200000</v>
      </c>
      <c r="I15" s="27">
        <f t="shared" si="4"/>
        <v>1400000.0000000002</v>
      </c>
      <c r="J15" s="27">
        <f t="shared" si="5"/>
        <v>22315740.740740743</v>
      </c>
      <c r="K15" s="27">
        <f t="shared" si="6"/>
        <v>1740627.777777778</v>
      </c>
      <c r="L15" s="27">
        <f t="shared" si="7"/>
        <v>216507316.66666669</v>
      </c>
      <c r="M15" s="28">
        <f t="shared" si="8"/>
        <v>24056368.518518522</v>
      </c>
    </row>
    <row r="16" spans="1:13" s="4" customFormat="1" ht="33.75" customHeight="1" x14ac:dyDescent="0.25">
      <c r="A16" s="31">
        <v>12</v>
      </c>
      <c r="B16" s="31">
        <v>14</v>
      </c>
      <c r="C16" s="11">
        <v>15100000</v>
      </c>
      <c r="D16" s="17">
        <v>21000000</v>
      </c>
      <c r="E16" s="26">
        <f t="shared" si="0"/>
        <v>0.39072847682119205</v>
      </c>
      <c r="F16" s="27">
        <f t="shared" si="1"/>
        <v>115740.74074074074</v>
      </c>
      <c r="G16" s="27">
        <f t="shared" si="2"/>
        <v>630000</v>
      </c>
      <c r="H16" s="27">
        <f t="shared" si="3"/>
        <v>210000</v>
      </c>
      <c r="I16" s="27">
        <f t="shared" si="4"/>
        <v>1470000.0000000002</v>
      </c>
      <c r="J16" s="27">
        <f t="shared" si="5"/>
        <v>23425740.740740743</v>
      </c>
      <c r="K16" s="27">
        <f t="shared" si="6"/>
        <v>1827207.777777778</v>
      </c>
      <c r="L16" s="27">
        <f t="shared" si="7"/>
        <v>227276536.66666669</v>
      </c>
      <c r="M16" s="28">
        <f t="shared" si="8"/>
        <v>25252948.518518522</v>
      </c>
    </row>
    <row r="17" spans="1:13" s="4" customFormat="1" ht="33.75" customHeight="1" x14ac:dyDescent="0.25">
      <c r="A17" s="31">
        <v>13</v>
      </c>
      <c r="B17" s="31">
        <v>15</v>
      </c>
      <c r="C17" s="11">
        <v>15750000</v>
      </c>
      <c r="D17" s="17">
        <v>21500000</v>
      </c>
      <c r="E17" s="26">
        <f t="shared" si="0"/>
        <v>0.36507936507936511</v>
      </c>
      <c r="F17" s="27">
        <f t="shared" si="1"/>
        <v>115740.74074074074</v>
      </c>
      <c r="G17" s="27">
        <f t="shared" si="2"/>
        <v>645000</v>
      </c>
      <c r="H17" s="27">
        <f t="shared" si="3"/>
        <v>215000</v>
      </c>
      <c r="I17" s="27">
        <f t="shared" si="4"/>
        <v>1505000.0000000002</v>
      </c>
      <c r="J17" s="27">
        <f t="shared" si="5"/>
        <v>23980740.740740743</v>
      </c>
      <c r="K17" s="27">
        <f t="shared" si="6"/>
        <v>1870497.777777778</v>
      </c>
      <c r="L17" s="27">
        <f t="shared" si="7"/>
        <v>232661146.66666669</v>
      </c>
      <c r="M17" s="28">
        <f t="shared" si="8"/>
        <v>25851238.518518522</v>
      </c>
    </row>
    <row r="18" spans="1:13" s="4" customFormat="1" ht="33.75" customHeight="1" x14ac:dyDescent="0.25">
      <c r="A18" s="31">
        <v>14</v>
      </c>
      <c r="B18" s="31">
        <v>16</v>
      </c>
      <c r="C18" s="11">
        <v>16350000</v>
      </c>
      <c r="D18" s="17">
        <v>22500000</v>
      </c>
      <c r="E18" s="26">
        <f t="shared" si="0"/>
        <v>0.37614678899082565</v>
      </c>
      <c r="F18" s="27">
        <f t="shared" si="1"/>
        <v>115740.74074074074</v>
      </c>
      <c r="G18" s="27">
        <f t="shared" si="2"/>
        <v>675000</v>
      </c>
      <c r="H18" s="27">
        <f t="shared" si="3"/>
        <v>225000</v>
      </c>
      <c r="I18" s="27">
        <f t="shared" si="4"/>
        <v>1575000.0000000002</v>
      </c>
      <c r="J18" s="27">
        <f t="shared" si="5"/>
        <v>25090740.740740743</v>
      </c>
      <c r="K18" s="27">
        <f t="shared" si="6"/>
        <v>1957077.777777778</v>
      </c>
      <c r="L18" s="27">
        <f t="shared" si="7"/>
        <v>243430366.66666669</v>
      </c>
      <c r="M18" s="28">
        <f t="shared" si="8"/>
        <v>27047818.518518522</v>
      </c>
    </row>
    <row r="19" spans="1:13" s="4" customFormat="1" ht="33.75" customHeight="1" x14ac:dyDescent="0.25">
      <c r="A19" s="31">
        <v>15</v>
      </c>
      <c r="B19" s="31">
        <v>17</v>
      </c>
      <c r="C19" s="11">
        <v>16950000</v>
      </c>
      <c r="D19" s="17">
        <v>23500000</v>
      </c>
      <c r="E19" s="26">
        <f t="shared" si="0"/>
        <v>0.3864306784660767</v>
      </c>
      <c r="F19" s="27">
        <f t="shared" si="1"/>
        <v>115740.74074074074</v>
      </c>
      <c r="G19" s="27">
        <f t="shared" si="2"/>
        <v>705000</v>
      </c>
      <c r="H19" s="27">
        <f t="shared" si="3"/>
        <v>235000</v>
      </c>
      <c r="I19" s="27">
        <f t="shared" si="4"/>
        <v>1645000.0000000002</v>
      </c>
      <c r="J19" s="27">
        <f t="shared" si="5"/>
        <v>26200740.740740743</v>
      </c>
      <c r="K19" s="27">
        <f t="shared" si="6"/>
        <v>2043657.777777778</v>
      </c>
      <c r="L19" s="27">
        <f t="shared" si="7"/>
        <v>254199586.66666669</v>
      </c>
      <c r="M19" s="28">
        <f t="shared" si="8"/>
        <v>28244398.518518522</v>
      </c>
    </row>
    <row r="20" spans="1:13" s="4" customFormat="1" ht="33.75" customHeight="1" x14ac:dyDescent="0.25">
      <c r="A20" s="31">
        <v>16</v>
      </c>
      <c r="B20" s="31">
        <v>18</v>
      </c>
      <c r="C20" s="11">
        <v>17550000</v>
      </c>
      <c r="D20" s="17">
        <v>24000000</v>
      </c>
      <c r="E20" s="26">
        <f t="shared" si="0"/>
        <v>0.36752136752136755</v>
      </c>
      <c r="F20" s="27">
        <f t="shared" si="1"/>
        <v>115740.74074074074</v>
      </c>
      <c r="G20" s="27">
        <f t="shared" si="2"/>
        <v>720000</v>
      </c>
      <c r="H20" s="27">
        <f t="shared" si="3"/>
        <v>240000</v>
      </c>
      <c r="I20" s="27">
        <f t="shared" si="4"/>
        <v>1680000.0000000002</v>
      </c>
      <c r="J20" s="27">
        <f t="shared" si="5"/>
        <v>26755740.740740743</v>
      </c>
      <c r="K20" s="27">
        <f t="shared" si="6"/>
        <v>2086947.777777778</v>
      </c>
      <c r="L20" s="27">
        <f t="shared" si="7"/>
        <v>259584196.66666669</v>
      </c>
      <c r="M20" s="28">
        <f t="shared" si="8"/>
        <v>28842688.518518522</v>
      </c>
    </row>
    <row r="21" spans="1:13" s="4" customFormat="1" ht="33.75" customHeight="1" x14ac:dyDescent="0.25">
      <c r="A21" s="31">
        <v>17</v>
      </c>
      <c r="B21" s="31">
        <v>19</v>
      </c>
      <c r="C21" s="11">
        <v>18150000</v>
      </c>
      <c r="D21" s="17">
        <v>25000000</v>
      </c>
      <c r="E21" s="26">
        <f t="shared" si="0"/>
        <v>0.37741046831955916</v>
      </c>
      <c r="F21" s="27">
        <f t="shared" si="1"/>
        <v>115740.74074074074</v>
      </c>
      <c r="G21" s="27">
        <f t="shared" si="2"/>
        <v>750000</v>
      </c>
      <c r="H21" s="27">
        <f t="shared" si="3"/>
        <v>250000</v>
      </c>
      <c r="I21" s="27">
        <f t="shared" si="4"/>
        <v>1750000.0000000002</v>
      </c>
      <c r="J21" s="27">
        <f t="shared" si="5"/>
        <v>27865740.740740743</v>
      </c>
      <c r="K21" s="27">
        <f t="shared" si="6"/>
        <v>2173527.777777778</v>
      </c>
      <c r="L21" s="27">
        <f t="shared" si="7"/>
        <v>270353416.66666669</v>
      </c>
      <c r="M21" s="28">
        <f t="shared" si="8"/>
        <v>30039268.518518522</v>
      </c>
    </row>
    <row r="22" spans="1:13" s="4" customFormat="1" ht="33.75" customHeight="1" thickBot="1" x14ac:dyDescent="0.3">
      <c r="A22" s="32">
        <v>18</v>
      </c>
      <c r="B22" s="32">
        <v>20</v>
      </c>
      <c r="C22" s="12">
        <v>18750000</v>
      </c>
      <c r="D22" s="17">
        <v>26000000</v>
      </c>
      <c r="E22" s="26">
        <f t="shared" si="0"/>
        <v>0.38666666666666671</v>
      </c>
      <c r="F22" s="27">
        <f t="shared" si="1"/>
        <v>115740.74074074074</v>
      </c>
      <c r="G22" s="27">
        <f t="shared" si="2"/>
        <v>780000</v>
      </c>
      <c r="H22" s="27">
        <f t="shared" si="3"/>
        <v>260000</v>
      </c>
      <c r="I22" s="27">
        <f t="shared" si="4"/>
        <v>1820000.0000000002</v>
      </c>
      <c r="J22" s="27">
        <f t="shared" si="5"/>
        <v>28975740.740740743</v>
      </c>
      <c r="K22" s="29">
        <f t="shared" si="6"/>
        <v>2260107.777777778</v>
      </c>
      <c r="L22" s="27">
        <f t="shared" si="7"/>
        <v>281122636.66666669</v>
      </c>
      <c r="M22" s="28">
        <f t="shared" si="8"/>
        <v>31235848.518518522</v>
      </c>
    </row>
    <row r="23" spans="1:13" ht="21" customHeight="1" x14ac:dyDescent="0.25">
      <c r="A23" s="58" t="s">
        <v>18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33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spans="1:13" ht="58.5" customHeight="1" x14ac:dyDescent="0.25">
      <c r="A25" s="50" t="s">
        <v>7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</row>
    <row r="26" spans="1:13" ht="33" customHeight="1" x14ac:dyDescent="0.25">
      <c r="A26" s="54" t="s">
        <v>23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  <row r="27" spans="1:13" ht="33" customHeight="1" x14ac:dyDescent="0.25">
      <c r="A27" s="54" t="s">
        <v>26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</row>
    <row r="28" spans="1:13" ht="155.25" customHeight="1" x14ac:dyDescent="0.25">
      <c r="A28" s="54" t="s">
        <v>25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</row>
    <row r="29" spans="1:13" ht="19.5" customHeight="1" x14ac:dyDescent="0.25">
      <c r="A29" s="54" t="s">
        <v>22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</row>
  </sheetData>
  <mergeCells count="10">
    <mergeCell ref="A1:M1"/>
    <mergeCell ref="A29:M29"/>
    <mergeCell ref="A23:M24"/>
    <mergeCell ref="A25:M25"/>
    <mergeCell ref="A26:M26"/>
    <mergeCell ref="A27:M27"/>
    <mergeCell ref="A28:M28"/>
    <mergeCell ref="A2:A4"/>
    <mergeCell ref="B2:B4"/>
    <mergeCell ref="C2:M3"/>
  </mergeCells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M22"/>
  <sheetViews>
    <sheetView rightToLeft="1" view="pageBreakPreview" zoomScale="80" zoomScaleNormal="64" zoomScaleSheetLayoutView="80" workbookViewId="0">
      <selection activeCell="N4" sqref="N1:O1048576"/>
    </sheetView>
  </sheetViews>
  <sheetFormatPr defaultColWidth="8.7109375" defaultRowHeight="15" x14ac:dyDescent="0.25"/>
  <cols>
    <col min="1" max="1" width="8.42578125" style="1" customWidth="1"/>
    <col min="2" max="2" width="15" style="1" bestFit="1" customWidth="1"/>
    <col min="3" max="3" width="21.28515625" style="1" hidden="1" customWidth="1"/>
    <col min="4" max="4" width="16.7109375" style="1" bestFit="1" customWidth="1"/>
    <col min="5" max="5" width="16.7109375" style="1" hidden="1" customWidth="1"/>
    <col min="6" max="6" width="19.42578125" style="8" customWidth="1"/>
    <col min="7" max="7" width="21.7109375" style="1" bestFit="1" customWidth="1"/>
    <col min="8" max="9" width="20.7109375" style="1" bestFit="1" customWidth="1"/>
    <col min="10" max="10" width="20.42578125" style="1" bestFit="1" customWidth="1"/>
    <col min="11" max="11" width="22.7109375" style="1" customWidth="1"/>
    <col min="12" max="12" width="19.42578125" style="1" bestFit="1" customWidth="1"/>
    <col min="13" max="13" width="27.140625" style="1" bestFit="1" customWidth="1"/>
    <col min="14" max="16384" width="8.7109375" style="1"/>
  </cols>
  <sheetData>
    <row r="1" spans="1:13" ht="39" customHeight="1" thickBot="1" x14ac:dyDescent="0.3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4.25" customHeight="1" x14ac:dyDescent="0.25">
      <c r="A2" s="68" t="s">
        <v>0</v>
      </c>
      <c r="B2" s="68" t="s">
        <v>1</v>
      </c>
      <c r="C2" s="70" t="s">
        <v>15</v>
      </c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1:13" ht="14.25" customHeight="1" x14ac:dyDescent="0.25">
      <c r="A3" s="68"/>
      <c r="B3" s="68"/>
      <c r="C3" s="73"/>
      <c r="D3" s="74"/>
      <c r="E3" s="74"/>
      <c r="F3" s="74"/>
      <c r="G3" s="74"/>
      <c r="H3" s="74"/>
      <c r="I3" s="74"/>
      <c r="J3" s="74"/>
      <c r="K3" s="74"/>
      <c r="L3" s="74"/>
      <c r="M3" s="75"/>
    </row>
    <row r="4" spans="1:13" s="7" customFormat="1" ht="63.75" thickBot="1" x14ac:dyDescent="0.3">
      <c r="A4" s="69"/>
      <c r="B4" s="69"/>
      <c r="C4" s="24" t="s">
        <v>10</v>
      </c>
      <c r="D4" s="5" t="s">
        <v>9</v>
      </c>
      <c r="E4" s="5" t="s">
        <v>2</v>
      </c>
      <c r="F4" s="9" t="s">
        <v>8</v>
      </c>
      <c r="G4" s="5" t="s">
        <v>21</v>
      </c>
      <c r="H4" s="6" t="s">
        <v>3</v>
      </c>
      <c r="I4" s="6" t="s">
        <v>4</v>
      </c>
      <c r="J4" s="6" t="s">
        <v>5</v>
      </c>
      <c r="K4" s="6" t="s">
        <v>20</v>
      </c>
      <c r="L4" s="6" t="s">
        <v>6</v>
      </c>
      <c r="M4" s="25" t="s">
        <v>11</v>
      </c>
    </row>
    <row r="5" spans="1:13" s="4" customFormat="1" ht="32.25" customHeight="1" x14ac:dyDescent="0.25">
      <c r="A5" s="30">
        <v>1</v>
      </c>
      <c r="B5" s="30">
        <v>3</v>
      </c>
      <c r="C5" s="33">
        <v>8000000</v>
      </c>
      <c r="D5" s="34">
        <v>11000000</v>
      </c>
      <c r="E5" s="26">
        <f>D5/C5-1</f>
        <v>0.375</v>
      </c>
      <c r="F5" s="27">
        <f>10000000/9.6/9</f>
        <v>115740.74074074074</v>
      </c>
      <c r="G5" s="27">
        <f>D5*0.03</f>
        <v>330000</v>
      </c>
      <c r="H5" s="27">
        <f t="shared" ref="H5:H22" si="0">D5*0.01</f>
        <v>110000</v>
      </c>
      <c r="I5" s="27">
        <f t="shared" ref="I5:I22" si="1">D5*0.07</f>
        <v>770000.00000000012</v>
      </c>
      <c r="J5" s="27">
        <f t="shared" ref="J5:J22" si="2">I5+H5+G5+D5+F5</f>
        <v>12325740.740740741</v>
      </c>
      <c r="K5" s="27">
        <f>7.8%*J5</f>
        <v>961407.77777777775</v>
      </c>
      <c r="L5" s="27">
        <f>(J5+K5)*9</f>
        <v>119584336.66666667</v>
      </c>
      <c r="M5" s="35">
        <f>L5/9</f>
        <v>13287148.518518519</v>
      </c>
    </row>
    <row r="6" spans="1:13" s="4" customFormat="1" ht="32.25" customHeight="1" x14ac:dyDescent="0.25">
      <c r="A6" s="31">
        <v>2</v>
      </c>
      <c r="B6" s="31">
        <v>4</v>
      </c>
      <c r="C6" s="33">
        <v>9000000</v>
      </c>
      <c r="D6" s="34">
        <v>12500000</v>
      </c>
      <c r="E6" s="26">
        <f t="shared" ref="E6:E22" si="3">D6/C6-1</f>
        <v>0.38888888888888884</v>
      </c>
      <c r="F6" s="27">
        <f t="shared" ref="F6:F22" si="4">10000000/9.6/9</f>
        <v>115740.74074074074</v>
      </c>
      <c r="G6" s="27">
        <f t="shared" ref="G6:G22" si="5">D6*0.03</f>
        <v>375000</v>
      </c>
      <c r="H6" s="27">
        <f t="shared" si="0"/>
        <v>125000</v>
      </c>
      <c r="I6" s="27">
        <f t="shared" si="1"/>
        <v>875000.00000000012</v>
      </c>
      <c r="J6" s="27">
        <f t="shared" si="2"/>
        <v>13990740.740740741</v>
      </c>
      <c r="K6" s="27">
        <f t="shared" ref="K6:K22" si="6">7.8%*J6</f>
        <v>1091277.7777777778</v>
      </c>
      <c r="L6" s="27">
        <f t="shared" ref="L6:L22" si="7">(J6+K6)*9</f>
        <v>135738166.66666666</v>
      </c>
      <c r="M6" s="35">
        <f t="shared" ref="M6:M22" si="8">L6/9</f>
        <v>15082018.518518517</v>
      </c>
    </row>
    <row r="7" spans="1:13" s="4" customFormat="1" ht="32.25" customHeight="1" x14ac:dyDescent="0.25">
      <c r="A7" s="31">
        <v>3</v>
      </c>
      <c r="B7" s="31">
        <v>5</v>
      </c>
      <c r="C7" s="33">
        <v>10000000</v>
      </c>
      <c r="D7" s="34">
        <v>14000000</v>
      </c>
      <c r="E7" s="26">
        <f t="shared" si="3"/>
        <v>0.39999999999999991</v>
      </c>
      <c r="F7" s="27">
        <f t="shared" si="4"/>
        <v>115740.74074074074</v>
      </c>
      <c r="G7" s="27">
        <f t="shared" si="5"/>
        <v>420000</v>
      </c>
      <c r="H7" s="27">
        <f t="shared" si="0"/>
        <v>140000</v>
      </c>
      <c r="I7" s="27">
        <f t="shared" si="1"/>
        <v>980000.00000000012</v>
      </c>
      <c r="J7" s="27">
        <f t="shared" si="2"/>
        <v>15655740.740740741</v>
      </c>
      <c r="K7" s="27">
        <f t="shared" si="6"/>
        <v>1221147.7777777778</v>
      </c>
      <c r="L7" s="27">
        <f t="shared" si="7"/>
        <v>151891996.66666666</v>
      </c>
      <c r="M7" s="35">
        <f t="shared" si="8"/>
        <v>16876888.518518519</v>
      </c>
    </row>
    <row r="8" spans="1:13" s="4" customFormat="1" ht="32.25" customHeight="1" x14ac:dyDescent="0.25">
      <c r="A8" s="31">
        <v>4</v>
      </c>
      <c r="B8" s="31">
        <v>6</v>
      </c>
      <c r="C8" s="33">
        <v>11000000</v>
      </c>
      <c r="D8" s="34">
        <v>15000000</v>
      </c>
      <c r="E8" s="26">
        <f t="shared" si="3"/>
        <v>0.36363636363636354</v>
      </c>
      <c r="F8" s="27">
        <f t="shared" si="4"/>
        <v>115740.74074074074</v>
      </c>
      <c r="G8" s="27">
        <f t="shared" si="5"/>
        <v>450000</v>
      </c>
      <c r="H8" s="27">
        <f t="shared" si="0"/>
        <v>150000</v>
      </c>
      <c r="I8" s="27">
        <f t="shared" si="1"/>
        <v>1050000</v>
      </c>
      <c r="J8" s="27">
        <f t="shared" si="2"/>
        <v>16765740.740740741</v>
      </c>
      <c r="K8" s="27">
        <f t="shared" si="6"/>
        <v>1307727.7777777778</v>
      </c>
      <c r="L8" s="27">
        <f t="shared" si="7"/>
        <v>162661216.66666666</v>
      </c>
      <c r="M8" s="35">
        <f t="shared" si="8"/>
        <v>18073468.518518519</v>
      </c>
    </row>
    <row r="9" spans="1:13" s="4" customFormat="1" ht="32.25" customHeight="1" x14ac:dyDescent="0.25">
      <c r="A9" s="31">
        <v>5</v>
      </c>
      <c r="B9" s="31">
        <v>7</v>
      </c>
      <c r="C9" s="33">
        <v>12000000</v>
      </c>
      <c r="D9" s="34">
        <v>16500000</v>
      </c>
      <c r="E9" s="26">
        <f t="shared" si="3"/>
        <v>0.375</v>
      </c>
      <c r="F9" s="27">
        <f t="shared" si="4"/>
        <v>115740.74074074074</v>
      </c>
      <c r="G9" s="27">
        <f t="shared" si="5"/>
        <v>495000</v>
      </c>
      <c r="H9" s="27">
        <f t="shared" si="0"/>
        <v>165000</v>
      </c>
      <c r="I9" s="27">
        <f t="shared" si="1"/>
        <v>1155000</v>
      </c>
      <c r="J9" s="27">
        <f t="shared" si="2"/>
        <v>18430740.740740743</v>
      </c>
      <c r="K9" s="27">
        <f t="shared" si="6"/>
        <v>1437597.777777778</v>
      </c>
      <c r="L9" s="27">
        <f t="shared" si="7"/>
        <v>178815046.66666669</v>
      </c>
      <c r="M9" s="35">
        <f t="shared" si="8"/>
        <v>19868338.518518522</v>
      </c>
    </row>
    <row r="10" spans="1:13" s="4" customFormat="1" ht="32.25" customHeight="1" x14ac:dyDescent="0.25">
      <c r="A10" s="31">
        <v>6</v>
      </c>
      <c r="B10" s="31">
        <v>8</v>
      </c>
      <c r="C10" s="33">
        <v>13000000</v>
      </c>
      <c r="D10" s="34">
        <v>18000000</v>
      </c>
      <c r="E10" s="26">
        <f t="shared" si="3"/>
        <v>0.38461538461538458</v>
      </c>
      <c r="F10" s="27">
        <f t="shared" si="4"/>
        <v>115740.74074074074</v>
      </c>
      <c r="G10" s="27">
        <f t="shared" si="5"/>
        <v>540000</v>
      </c>
      <c r="H10" s="27">
        <f t="shared" si="0"/>
        <v>180000</v>
      </c>
      <c r="I10" s="27">
        <f t="shared" si="1"/>
        <v>1260000.0000000002</v>
      </c>
      <c r="J10" s="27">
        <f t="shared" si="2"/>
        <v>20095740.740740743</v>
      </c>
      <c r="K10" s="27">
        <f t="shared" si="6"/>
        <v>1567467.777777778</v>
      </c>
      <c r="L10" s="27">
        <f t="shared" si="7"/>
        <v>194968876.66666669</v>
      </c>
      <c r="M10" s="35">
        <f t="shared" si="8"/>
        <v>21663208.518518522</v>
      </c>
    </row>
    <row r="11" spans="1:13" s="4" customFormat="1" ht="32.25" customHeight="1" x14ac:dyDescent="0.25">
      <c r="A11" s="31">
        <v>7</v>
      </c>
      <c r="B11" s="31">
        <v>9</v>
      </c>
      <c r="C11" s="33">
        <v>14000000</v>
      </c>
      <c r="D11" s="34">
        <v>19500000</v>
      </c>
      <c r="E11" s="26">
        <f t="shared" si="3"/>
        <v>0.39285714285714279</v>
      </c>
      <c r="F11" s="27">
        <f t="shared" si="4"/>
        <v>115740.74074074074</v>
      </c>
      <c r="G11" s="27">
        <f t="shared" si="5"/>
        <v>585000</v>
      </c>
      <c r="H11" s="27">
        <f t="shared" si="0"/>
        <v>195000</v>
      </c>
      <c r="I11" s="27">
        <f t="shared" si="1"/>
        <v>1365000.0000000002</v>
      </c>
      <c r="J11" s="27">
        <f t="shared" si="2"/>
        <v>21760740.740740743</v>
      </c>
      <c r="K11" s="27">
        <f t="shared" si="6"/>
        <v>1697337.777777778</v>
      </c>
      <c r="L11" s="27">
        <f t="shared" si="7"/>
        <v>211122706.66666669</v>
      </c>
      <c r="M11" s="35">
        <f t="shared" si="8"/>
        <v>23458078.518518522</v>
      </c>
    </row>
    <row r="12" spans="1:13" s="4" customFormat="1" ht="32.25" customHeight="1" x14ac:dyDescent="0.25">
      <c r="A12" s="31">
        <v>8</v>
      </c>
      <c r="B12" s="31">
        <v>10</v>
      </c>
      <c r="C12" s="33">
        <v>15000000</v>
      </c>
      <c r="D12" s="34">
        <v>20000000</v>
      </c>
      <c r="E12" s="26">
        <f t="shared" si="3"/>
        <v>0.33333333333333326</v>
      </c>
      <c r="F12" s="27">
        <f t="shared" si="4"/>
        <v>115740.74074074074</v>
      </c>
      <c r="G12" s="27">
        <f t="shared" si="5"/>
        <v>600000</v>
      </c>
      <c r="H12" s="27">
        <f t="shared" si="0"/>
        <v>200000</v>
      </c>
      <c r="I12" s="27">
        <f t="shared" si="1"/>
        <v>1400000.0000000002</v>
      </c>
      <c r="J12" s="27">
        <f t="shared" si="2"/>
        <v>22315740.740740743</v>
      </c>
      <c r="K12" s="27">
        <f t="shared" si="6"/>
        <v>1740627.777777778</v>
      </c>
      <c r="L12" s="27">
        <f t="shared" si="7"/>
        <v>216507316.66666669</v>
      </c>
      <c r="M12" s="35">
        <f t="shared" si="8"/>
        <v>24056368.518518522</v>
      </c>
    </row>
    <row r="13" spans="1:13" s="4" customFormat="1" ht="32.25" customHeight="1" x14ac:dyDescent="0.25">
      <c r="A13" s="31">
        <v>9</v>
      </c>
      <c r="B13" s="31">
        <v>11</v>
      </c>
      <c r="C13" s="33">
        <v>15000000</v>
      </c>
      <c r="D13" s="34">
        <v>20500000</v>
      </c>
      <c r="E13" s="26">
        <f t="shared" si="3"/>
        <v>0.3666666666666667</v>
      </c>
      <c r="F13" s="27">
        <f t="shared" si="4"/>
        <v>115740.74074074074</v>
      </c>
      <c r="G13" s="27">
        <f t="shared" si="5"/>
        <v>615000</v>
      </c>
      <c r="H13" s="27">
        <f t="shared" si="0"/>
        <v>205000</v>
      </c>
      <c r="I13" s="27">
        <f t="shared" si="1"/>
        <v>1435000.0000000002</v>
      </c>
      <c r="J13" s="27">
        <f t="shared" si="2"/>
        <v>22870740.740740743</v>
      </c>
      <c r="K13" s="27">
        <f t="shared" si="6"/>
        <v>1783917.777777778</v>
      </c>
      <c r="L13" s="27">
        <f t="shared" si="7"/>
        <v>221891926.66666669</v>
      </c>
      <c r="M13" s="35">
        <f t="shared" si="8"/>
        <v>24654658.518518522</v>
      </c>
    </row>
    <row r="14" spans="1:13" s="4" customFormat="1" ht="32.25" customHeight="1" x14ac:dyDescent="0.25">
      <c r="A14" s="31">
        <v>10</v>
      </c>
      <c r="B14" s="31">
        <v>12</v>
      </c>
      <c r="C14" s="33">
        <v>16000000</v>
      </c>
      <c r="D14" s="34">
        <v>22000000</v>
      </c>
      <c r="E14" s="26">
        <f t="shared" si="3"/>
        <v>0.375</v>
      </c>
      <c r="F14" s="27">
        <f t="shared" si="4"/>
        <v>115740.74074074074</v>
      </c>
      <c r="G14" s="27">
        <f t="shared" si="5"/>
        <v>660000</v>
      </c>
      <c r="H14" s="27">
        <f t="shared" si="0"/>
        <v>220000</v>
      </c>
      <c r="I14" s="27">
        <f t="shared" si="1"/>
        <v>1540000.0000000002</v>
      </c>
      <c r="J14" s="27">
        <f t="shared" si="2"/>
        <v>24535740.740740743</v>
      </c>
      <c r="K14" s="27">
        <f t="shared" si="6"/>
        <v>1913787.777777778</v>
      </c>
      <c r="L14" s="27">
        <f t="shared" si="7"/>
        <v>238045756.66666669</v>
      </c>
      <c r="M14" s="35">
        <f t="shared" si="8"/>
        <v>26449528.518518522</v>
      </c>
    </row>
    <row r="15" spans="1:13" s="4" customFormat="1" ht="32.25" customHeight="1" x14ac:dyDescent="0.25">
      <c r="A15" s="31">
        <v>11</v>
      </c>
      <c r="B15" s="31">
        <v>13</v>
      </c>
      <c r="C15" s="33">
        <v>17000000</v>
      </c>
      <c r="D15" s="34">
        <v>23500000</v>
      </c>
      <c r="E15" s="26">
        <f t="shared" si="3"/>
        <v>0.38235294117647056</v>
      </c>
      <c r="F15" s="27">
        <f t="shared" si="4"/>
        <v>115740.74074074074</v>
      </c>
      <c r="G15" s="27">
        <f t="shared" si="5"/>
        <v>705000</v>
      </c>
      <c r="H15" s="27">
        <f t="shared" si="0"/>
        <v>235000</v>
      </c>
      <c r="I15" s="27">
        <f t="shared" si="1"/>
        <v>1645000.0000000002</v>
      </c>
      <c r="J15" s="27">
        <f t="shared" si="2"/>
        <v>26200740.740740743</v>
      </c>
      <c r="K15" s="27">
        <f t="shared" si="6"/>
        <v>2043657.777777778</v>
      </c>
      <c r="L15" s="27">
        <f t="shared" si="7"/>
        <v>254199586.66666669</v>
      </c>
      <c r="M15" s="35">
        <f t="shared" si="8"/>
        <v>28244398.518518522</v>
      </c>
    </row>
    <row r="16" spans="1:13" s="4" customFormat="1" ht="32.25" customHeight="1" x14ac:dyDescent="0.25">
      <c r="A16" s="31">
        <v>12</v>
      </c>
      <c r="B16" s="31">
        <v>14</v>
      </c>
      <c r="C16" s="33">
        <v>18000000</v>
      </c>
      <c r="D16" s="34">
        <v>24500000</v>
      </c>
      <c r="E16" s="26">
        <f t="shared" si="3"/>
        <v>0.36111111111111116</v>
      </c>
      <c r="F16" s="27">
        <f t="shared" si="4"/>
        <v>115740.74074074074</v>
      </c>
      <c r="G16" s="27">
        <f t="shared" si="5"/>
        <v>735000</v>
      </c>
      <c r="H16" s="27">
        <f t="shared" si="0"/>
        <v>245000</v>
      </c>
      <c r="I16" s="27">
        <f t="shared" si="1"/>
        <v>1715000.0000000002</v>
      </c>
      <c r="J16" s="27">
        <f t="shared" si="2"/>
        <v>27310740.740740743</v>
      </c>
      <c r="K16" s="27">
        <f t="shared" si="6"/>
        <v>2130237.777777778</v>
      </c>
      <c r="L16" s="27">
        <f t="shared" si="7"/>
        <v>264968806.66666669</v>
      </c>
      <c r="M16" s="35">
        <f t="shared" si="8"/>
        <v>29440978.518518522</v>
      </c>
    </row>
    <row r="17" spans="1:13" s="4" customFormat="1" ht="32.25" customHeight="1" x14ac:dyDescent="0.25">
      <c r="A17" s="31">
        <v>13</v>
      </c>
      <c r="B17" s="31">
        <v>15</v>
      </c>
      <c r="C17" s="33">
        <v>18000000</v>
      </c>
      <c r="D17" s="34">
        <v>25000000</v>
      </c>
      <c r="E17" s="26">
        <f t="shared" si="3"/>
        <v>0.38888888888888884</v>
      </c>
      <c r="F17" s="27">
        <f t="shared" si="4"/>
        <v>115740.74074074074</v>
      </c>
      <c r="G17" s="27">
        <f t="shared" si="5"/>
        <v>750000</v>
      </c>
      <c r="H17" s="27">
        <f t="shared" si="0"/>
        <v>250000</v>
      </c>
      <c r="I17" s="27">
        <f t="shared" si="1"/>
        <v>1750000.0000000002</v>
      </c>
      <c r="J17" s="27">
        <f t="shared" si="2"/>
        <v>27865740.740740743</v>
      </c>
      <c r="K17" s="27">
        <f t="shared" si="6"/>
        <v>2173527.777777778</v>
      </c>
      <c r="L17" s="27">
        <f t="shared" si="7"/>
        <v>270353416.66666669</v>
      </c>
      <c r="M17" s="35">
        <f t="shared" si="8"/>
        <v>30039268.518518522</v>
      </c>
    </row>
    <row r="18" spans="1:13" s="4" customFormat="1" ht="32.25" customHeight="1" x14ac:dyDescent="0.25">
      <c r="A18" s="31">
        <v>14</v>
      </c>
      <c r="B18" s="31">
        <v>16</v>
      </c>
      <c r="C18" s="33">
        <v>19000000</v>
      </c>
      <c r="D18" s="34">
        <v>26000000</v>
      </c>
      <c r="E18" s="26">
        <f t="shared" si="3"/>
        <v>0.36842105263157898</v>
      </c>
      <c r="F18" s="27">
        <f t="shared" si="4"/>
        <v>115740.74074074074</v>
      </c>
      <c r="G18" s="27">
        <f t="shared" si="5"/>
        <v>780000</v>
      </c>
      <c r="H18" s="27">
        <f t="shared" si="0"/>
        <v>260000</v>
      </c>
      <c r="I18" s="27">
        <f t="shared" si="1"/>
        <v>1820000.0000000002</v>
      </c>
      <c r="J18" s="27">
        <f t="shared" si="2"/>
        <v>28975740.740740743</v>
      </c>
      <c r="K18" s="27">
        <f t="shared" si="6"/>
        <v>2260107.777777778</v>
      </c>
      <c r="L18" s="27">
        <f t="shared" si="7"/>
        <v>281122636.66666669</v>
      </c>
      <c r="M18" s="35">
        <f t="shared" si="8"/>
        <v>31235848.518518522</v>
      </c>
    </row>
    <row r="19" spans="1:13" s="4" customFormat="1" ht="32.25" customHeight="1" x14ac:dyDescent="0.25">
      <c r="A19" s="31">
        <v>15</v>
      </c>
      <c r="B19" s="31">
        <v>17</v>
      </c>
      <c r="C19" s="33">
        <v>20000000</v>
      </c>
      <c r="D19" s="34">
        <v>27500000</v>
      </c>
      <c r="E19" s="26">
        <f t="shared" si="3"/>
        <v>0.375</v>
      </c>
      <c r="F19" s="27">
        <f t="shared" si="4"/>
        <v>115740.74074074074</v>
      </c>
      <c r="G19" s="27">
        <f t="shared" si="5"/>
        <v>825000</v>
      </c>
      <c r="H19" s="27">
        <f t="shared" si="0"/>
        <v>275000</v>
      </c>
      <c r="I19" s="27">
        <f t="shared" si="1"/>
        <v>1925000.0000000002</v>
      </c>
      <c r="J19" s="27">
        <f t="shared" si="2"/>
        <v>30640740.740740743</v>
      </c>
      <c r="K19" s="27">
        <f t="shared" si="6"/>
        <v>2389977.777777778</v>
      </c>
      <c r="L19" s="27">
        <f t="shared" si="7"/>
        <v>297276466.66666669</v>
      </c>
      <c r="M19" s="35">
        <f t="shared" si="8"/>
        <v>33030718.518518522</v>
      </c>
    </row>
    <row r="20" spans="1:13" s="4" customFormat="1" ht="32.25" customHeight="1" x14ac:dyDescent="0.25">
      <c r="A20" s="31">
        <v>16</v>
      </c>
      <c r="B20" s="31">
        <v>18</v>
      </c>
      <c r="C20" s="33">
        <v>21000000</v>
      </c>
      <c r="D20" s="34">
        <v>28500000</v>
      </c>
      <c r="E20" s="26">
        <f t="shared" si="3"/>
        <v>0.35714285714285721</v>
      </c>
      <c r="F20" s="27">
        <f t="shared" si="4"/>
        <v>115740.74074074074</v>
      </c>
      <c r="G20" s="27">
        <f t="shared" si="5"/>
        <v>855000</v>
      </c>
      <c r="H20" s="27">
        <f t="shared" si="0"/>
        <v>285000</v>
      </c>
      <c r="I20" s="27">
        <f t="shared" si="1"/>
        <v>1995000.0000000002</v>
      </c>
      <c r="J20" s="27">
        <f t="shared" si="2"/>
        <v>31750740.740740743</v>
      </c>
      <c r="K20" s="27">
        <f t="shared" si="6"/>
        <v>2476557.777777778</v>
      </c>
      <c r="L20" s="27">
        <f t="shared" si="7"/>
        <v>308045686.66666669</v>
      </c>
      <c r="M20" s="35">
        <f t="shared" si="8"/>
        <v>34227298.518518522</v>
      </c>
    </row>
    <row r="21" spans="1:13" s="4" customFormat="1" ht="32.25" customHeight="1" x14ac:dyDescent="0.25">
      <c r="A21" s="31">
        <v>17</v>
      </c>
      <c r="B21" s="31">
        <v>19</v>
      </c>
      <c r="C21" s="33">
        <v>21000000</v>
      </c>
      <c r="D21" s="34">
        <v>29000000</v>
      </c>
      <c r="E21" s="26">
        <f t="shared" si="3"/>
        <v>0.38095238095238093</v>
      </c>
      <c r="F21" s="27">
        <f t="shared" si="4"/>
        <v>115740.74074074074</v>
      </c>
      <c r="G21" s="27">
        <f t="shared" si="5"/>
        <v>870000</v>
      </c>
      <c r="H21" s="27">
        <f t="shared" si="0"/>
        <v>290000</v>
      </c>
      <c r="I21" s="27">
        <f t="shared" si="1"/>
        <v>2030000.0000000002</v>
      </c>
      <c r="J21" s="27">
        <f t="shared" si="2"/>
        <v>32305740.740740743</v>
      </c>
      <c r="K21" s="27">
        <f t="shared" si="6"/>
        <v>2519847.777777778</v>
      </c>
      <c r="L21" s="27">
        <f t="shared" si="7"/>
        <v>313430296.66666669</v>
      </c>
      <c r="M21" s="35">
        <f t="shared" si="8"/>
        <v>34825588.518518522</v>
      </c>
    </row>
    <row r="22" spans="1:13" s="4" customFormat="1" ht="32.25" customHeight="1" thickBot="1" x14ac:dyDescent="0.3">
      <c r="A22" s="36">
        <v>18</v>
      </c>
      <c r="B22" s="36">
        <v>20</v>
      </c>
      <c r="C22" s="37">
        <v>22000000</v>
      </c>
      <c r="D22" s="38">
        <v>30000000</v>
      </c>
      <c r="E22" s="39">
        <f t="shared" si="3"/>
        <v>0.36363636363636354</v>
      </c>
      <c r="F22" s="40">
        <f t="shared" si="4"/>
        <v>115740.74074074074</v>
      </c>
      <c r="G22" s="40">
        <f t="shared" si="5"/>
        <v>900000</v>
      </c>
      <c r="H22" s="40">
        <f t="shared" si="0"/>
        <v>300000</v>
      </c>
      <c r="I22" s="40">
        <f t="shared" si="1"/>
        <v>2100000</v>
      </c>
      <c r="J22" s="40">
        <f t="shared" si="2"/>
        <v>33415740.740740743</v>
      </c>
      <c r="K22" s="40">
        <f t="shared" si="6"/>
        <v>2606427.777777778</v>
      </c>
      <c r="L22" s="40">
        <f t="shared" si="7"/>
        <v>324199516.66666669</v>
      </c>
      <c r="M22" s="41">
        <f t="shared" si="8"/>
        <v>36022168.518518522</v>
      </c>
    </row>
  </sheetData>
  <mergeCells count="4">
    <mergeCell ref="A1:M1"/>
    <mergeCell ref="A2:A4"/>
    <mergeCell ref="B2:B4"/>
    <mergeCell ref="C2:M3"/>
  </mergeCells>
  <printOptions horizontalCentered="1" verticalCentered="1"/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M22"/>
  <sheetViews>
    <sheetView rightToLeft="1" view="pageBreakPreview" zoomScale="80" zoomScaleNormal="55" zoomScaleSheetLayoutView="80" workbookViewId="0">
      <selection activeCell="N4" sqref="N1:O1048576"/>
    </sheetView>
  </sheetViews>
  <sheetFormatPr defaultColWidth="8.7109375" defaultRowHeight="15" x14ac:dyDescent="0.25"/>
  <cols>
    <col min="1" max="1" width="8.42578125" style="1" customWidth="1"/>
    <col min="2" max="2" width="15" style="1" bestFit="1" customWidth="1"/>
    <col min="3" max="3" width="21.28515625" style="1" hidden="1" customWidth="1"/>
    <col min="4" max="4" width="16.7109375" style="1" bestFit="1" customWidth="1"/>
    <col min="5" max="5" width="8.7109375" style="1" hidden="1" customWidth="1"/>
    <col min="6" max="6" width="19.42578125" style="8" customWidth="1"/>
    <col min="7" max="7" width="21.7109375" style="1" bestFit="1" customWidth="1"/>
    <col min="8" max="9" width="20.7109375" style="1" bestFit="1" customWidth="1"/>
    <col min="10" max="10" width="20.42578125" style="1" bestFit="1" customWidth="1"/>
    <col min="11" max="11" width="22.7109375" style="1" customWidth="1"/>
    <col min="12" max="12" width="27" style="1" bestFit="1" customWidth="1"/>
    <col min="13" max="13" width="21.7109375" style="1" bestFit="1" customWidth="1"/>
    <col min="14" max="16384" width="8.7109375" style="1"/>
  </cols>
  <sheetData>
    <row r="1" spans="1:13" ht="39" customHeight="1" thickBot="1" x14ac:dyDescent="0.3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4.25" customHeight="1" x14ac:dyDescent="0.25">
      <c r="A2" s="68" t="s">
        <v>0</v>
      </c>
      <c r="B2" s="68" t="s">
        <v>1</v>
      </c>
      <c r="C2" s="13"/>
      <c r="D2" s="76" t="s">
        <v>19</v>
      </c>
      <c r="E2" s="77"/>
      <c r="F2" s="77"/>
      <c r="G2" s="77"/>
      <c r="H2" s="77"/>
      <c r="I2" s="77"/>
      <c r="J2" s="77"/>
      <c r="K2" s="77"/>
      <c r="L2" s="77"/>
      <c r="M2" s="78"/>
    </row>
    <row r="3" spans="1:13" ht="14.25" customHeight="1" x14ac:dyDescent="0.25">
      <c r="A3" s="68"/>
      <c r="B3" s="68"/>
      <c r="C3" s="13"/>
      <c r="D3" s="79"/>
      <c r="E3" s="80"/>
      <c r="F3" s="80"/>
      <c r="G3" s="80"/>
      <c r="H3" s="80"/>
      <c r="I3" s="80"/>
      <c r="J3" s="80"/>
      <c r="K3" s="80"/>
      <c r="L3" s="80"/>
      <c r="M3" s="81"/>
    </row>
    <row r="4" spans="1:13" s="7" customFormat="1" ht="63.75" thickBot="1" x14ac:dyDescent="0.3">
      <c r="A4" s="68"/>
      <c r="B4" s="68"/>
      <c r="C4" s="22" t="s">
        <v>10</v>
      </c>
      <c r="D4" s="23" t="s">
        <v>9</v>
      </c>
      <c r="E4" s="14" t="s">
        <v>2</v>
      </c>
      <c r="F4" s="15" t="s">
        <v>8</v>
      </c>
      <c r="G4" s="14" t="s">
        <v>21</v>
      </c>
      <c r="H4" s="15" t="s">
        <v>3</v>
      </c>
      <c r="I4" s="15" t="s">
        <v>4</v>
      </c>
      <c r="J4" s="15" t="s">
        <v>5</v>
      </c>
      <c r="K4" s="15" t="s">
        <v>20</v>
      </c>
      <c r="L4" s="14" t="s">
        <v>6</v>
      </c>
      <c r="M4" s="16" t="s">
        <v>11</v>
      </c>
    </row>
    <row r="5" spans="1:13" s="4" customFormat="1" ht="33" customHeight="1" x14ac:dyDescent="0.25">
      <c r="A5" s="42">
        <v>1</v>
      </c>
      <c r="B5" s="42">
        <v>3</v>
      </c>
      <c r="C5" s="43">
        <v>5000000</v>
      </c>
      <c r="D5" s="44">
        <v>7000000</v>
      </c>
      <c r="E5" s="45">
        <f>D5/C5-1</f>
        <v>0.39999999999999991</v>
      </c>
      <c r="F5" s="46">
        <f>10000000/9.6/9</f>
        <v>115740.74074074074</v>
      </c>
      <c r="G5" s="46">
        <f>D5*0.03</f>
        <v>210000</v>
      </c>
      <c r="H5" s="46">
        <f t="shared" ref="H5:H22" si="0">D5*0.01</f>
        <v>70000</v>
      </c>
      <c r="I5" s="46">
        <f t="shared" ref="I5:I22" si="1">D5*0.07</f>
        <v>490000.00000000006</v>
      </c>
      <c r="J5" s="46">
        <f t="shared" ref="J5:J22" si="2">I5+H5+G5+D5+F5</f>
        <v>7885740.7407407407</v>
      </c>
      <c r="K5" s="46">
        <f>7.8%*J5</f>
        <v>615087.77777777775</v>
      </c>
      <c r="L5" s="46">
        <f>(K5+J5)*9</f>
        <v>76507456.666666672</v>
      </c>
      <c r="M5" s="47">
        <f t="shared" ref="M5:M22" si="3">L5/9</f>
        <v>8500828.5185185187</v>
      </c>
    </row>
    <row r="6" spans="1:13" s="4" customFormat="1" ht="33" customHeight="1" x14ac:dyDescent="0.25">
      <c r="A6" s="31">
        <v>2</v>
      </c>
      <c r="B6" s="31">
        <v>4</v>
      </c>
      <c r="C6" s="48">
        <v>6000000</v>
      </c>
      <c r="D6" s="33">
        <v>8500000</v>
      </c>
      <c r="E6" s="26">
        <f t="shared" ref="E6:E22" si="4">D6/C6-1</f>
        <v>0.41666666666666674</v>
      </c>
      <c r="F6" s="27">
        <f t="shared" ref="F6:F22" si="5">10000000/9.6/9</f>
        <v>115740.74074074074</v>
      </c>
      <c r="G6" s="27">
        <f t="shared" ref="G6:G22" si="6">D6*0.03</f>
        <v>255000</v>
      </c>
      <c r="H6" s="27">
        <f t="shared" si="0"/>
        <v>85000</v>
      </c>
      <c r="I6" s="27">
        <f t="shared" si="1"/>
        <v>595000</v>
      </c>
      <c r="J6" s="27">
        <f t="shared" si="2"/>
        <v>9550740.7407407407</v>
      </c>
      <c r="K6" s="27">
        <f t="shared" ref="K6:K22" si="7">7.8%*J6</f>
        <v>744957.77777777775</v>
      </c>
      <c r="L6" s="27">
        <f t="shared" ref="L6:L22" si="8">(K6+J6)*9</f>
        <v>92661286.666666672</v>
      </c>
      <c r="M6" s="35">
        <f t="shared" si="3"/>
        <v>10295698.518518519</v>
      </c>
    </row>
    <row r="7" spans="1:13" s="4" customFormat="1" ht="33" customHeight="1" x14ac:dyDescent="0.25">
      <c r="A7" s="31">
        <v>3</v>
      </c>
      <c r="B7" s="31">
        <v>5</v>
      </c>
      <c r="C7" s="48">
        <v>7000000</v>
      </c>
      <c r="D7" s="33">
        <v>9500000</v>
      </c>
      <c r="E7" s="26">
        <f t="shared" si="4"/>
        <v>0.35714285714285721</v>
      </c>
      <c r="F7" s="27">
        <f t="shared" si="5"/>
        <v>115740.74074074074</v>
      </c>
      <c r="G7" s="27">
        <f t="shared" si="6"/>
        <v>285000</v>
      </c>
      <c r="H7" s="27">
        <f t="shared" si="0"/>
        <v>95000</v>
      </c>
      <c r="I7" s="27">
        <f t="shared" si="1"/>
        <v>665000.00000000012</v>
      </c>
      <c r="J7" s="27">
        <f t="shared" si="2"/>
        <v>10660740.740740741</v>
      </c>
      <c r="K7" s="27">
        <f t="shared" si="7"/>
        <v>831537.77777777775</v>
      </c>
      <c r="L7" s="27">
        <f t="shared" si="8"/>
        <v>103430506.66666667</v>
      </c>
      <c r="M7" s="35">
        <f t="shared" si="3"/>
        <v>11492278.518518519</v>
      </c>
    </row>
    <row r="8" spans="1:13" s="4" customFormat="1" ht="33" customHeight="1" x14ac:dyDescent="0.25">
      <c r="A8" s="31">
        <v>4</v>
      </c>
      <c r="B8" s="31">
        <v>6</v>
      </c>
      <c r="C8" s="48">
        <v>8000000</v>
      </c>
      <c r="D8" s="33">
        <v>10800000</v>
      </c>
      <c r="E8" s="26">
        <f t="shared" si="4"/>
        <v>0.35000000000000009</v>
      </c>
      <c r="F8" s="27">
        <f t="shared" si="5"/>
        <v>115740.74074074074</v>
      </c>
      <c r="G8" s="27">
        <f t="shared" si="6"/>
        <v>324000</v>
      </c>
      <c r="H8" s="27">
        <f t="shared" si="0"/>
        <v>108000</v>
      </c>
      <c r="I8" s="27">
        <f t="shared" si="1"/>
        <v>756000.00000000012</v>
      </c>
      <c r="J8" s="27">
        <f t="shared" si="2"/>
        <v>12103740.740740741</v>
      </c>
      <c r="K8" s="27">
        <f t="shared" si="7"/>
        <v>944091.77777777775</v>
      </c>
      <c r="L8" s="27">
        <f t="shared" si="8"/>
        <v>117430492.66666667</v>
      </c>
      <c r="M8" s="35">
        <f t="shared" si="3"/>
        <v>13047832.518518519</v>
      </c>
    </row>
    <row r="9" spans="1:13" s="4" customFormat="1" ht="33" customHeight="1" x14ac:dyDescent="0.25">
      <c r="A9" s="31">
        <v>5</v>
      </c>
      <c r="B9" s="31">
        <v>7</v>
      </c>
      <c r="C9" s="48">
        <v>8000000</v>
      </c>
      <c r="D9" s="33">
        <v>11000000</v>
      </c>
      <c r="E9" s="26">
        <f t="shared" si="4"/>
        <v>0.375</v>
      </c>
      <c r="F9" s="27">
        <f t="shared" si="5"/>
        <v>115740.74074074074</v>
      </c>
      <c r="G9" s="27">
        <f t="shared" si="6"/>
        <v>330000</v>
      </c>
      <c r="H9" s="27">
        <f t="shared" si="0"/>
        <v>110000</v>
      </c>
      <c r="I9" s="27">
        <f t="shared" si="1"/>
        <v>770000.00000000012</v>
      </c>
      <c r="J9" s="27">
        <f t="shared" si="2"/>
        <v>12325740.740740741</v>
      </c>
      <c r="K9" s="27">
        <f t="shared" si="7"/>
        <v>961407.77777777775</v>
      </c>
      <c r="L9" s="27">
        <f t="shared" si="8"/>
        <v>119584336.66666667</v>
      </c>
      <c r="M9" s="35">
        <f t="shared" si="3"/>
        <v>13287148.518518519</v>
      </c>
    </row>
    <row r="10" spans="1:13" s="4" customFormat="1" ht="33" customHeight="1" x14ac:dyDescent="0.25">
      <c r="A10" s="31">
        <v>6</v>
      </c>
      <c r="B10" s="31">
        <v>8</v>
      </c>
      <c r="C10" s="48">
        <v>9000000</v>
      </c>
      <c r="D10" s="33">
        <v>12500000</v>
      </c>
      <c r="E10" s="26">
        <f t="shared" si="4"/>
        <v>0.38888888888888884</v>
      </c>
      <c r="F10" s="27">
        <f t="shared" si="5"/>
        <v>115740.74074074074</v>
      </c>
      <c r="G10" s="27">
        <f t="shared" si="6"/>
        <v>375000</v>
      </c>
      <c r="H10" s="27">
        <f t="shared" si="0"/>
        <v>125000</v>
      </c>
      <c r="I10" s="27">
        <f t="shared" si="1"/>
        <v>875000.00000000012</v>
      </c>
      <c r="J10" s="27">
        <f t="shared" si="2"/>
        <v>13990740.740740741</v>
      </c>
      <c r="K10" s="27">
        <f t="shared" si="7"/>
        <v>1091277.7777777778</v>
      </c>
      <c r="L10" s="27">
        <f t="shared" si="8"/>
        <v>135738166.66666666</v>
      </c>
      <c r="M10" s="35">
        <f t="shared" si="3"/>
        <v>15082018.518518517</v>
      </c>
    </row>
    <row r="11" spans="1:13" s="4" customFormat="1" ht="33" customHeight="1" x14ac:dyDescent="0.25">
      <c r="A11" s="31">
        <v>7</v>
      </c>
      <c r="B11" s="31">
        <v>9</v>
      </c>
      <c r="C11" s="48">
        <v>10000000</v>
      </c>
      <c r="D11" s="33">
        <v>13500000</v>
      </c>
      <c r="E11" s="26">
        <f t="shared" si="4"/>
        <v>0.35000000000000009</v>
      </c>
      <c r="F11" s="27">
        <f t="shared" si="5"/>
        <v>115740.74074074074</v>
      </c>
      <c r="G11" s="27">
        <f t="shared" si="6"/>
        <v>405000</v>
      </c>
      <c r="H11" s="27">
        <f t="shared" si="0"/>
        <v>135000</v>
      </c>
      <c r="I11" s="27">
        <f t="shared" si="1"/>
        <v>945000.00000000012</v>
      </c>
      <c r="J11" s="27">
        <f t="shared" si="2"/>
        <v>15100740.740740741</v>
      </c>
      <c r="K11" s="27">
        <f t="shared" si="7"/>
        <v>1177857.7777777778</v>
      </c>
      <c r="L11" s="27">
        <f t="shared" si="8"/>
        <v>146507386.66666666</v>
      </c>
      <c r="M11" s="35">
        <f t="shared" si="3"/>
        <v>16278598.518518517</v>
      </c>
    </row>
    <row r="12" spans="1:13" s="4" customFormat="1" ht="33" customHeight="1" x14ac:dyDescent="0.25">
      <c r="A12" s="31">
        <v>8</v>
      </c>
      <c r="B12" s="31">
        <v>10</v>
      </c>
      <c r="C12" s="48">
        <v>10000000</v>
      </c>
      <c r="D12" s="33">
        <v>14000000</v>
      </c>
      <c r="E12" s="26">
        <f t="shared" si="4"/>
        <v>0.39999999999999991</v>
      </c>
      <c r="F12" s="27">
        <f t="shared" si="5"/>
        <v>115740.74074074074</v>
      </c>
      <c r="G12" s="27">
        <f t="shared" si="6"/>
        <v>420000</v>
      </c>
      <c r="H12" s="27">
        <f t="shared" si="0"/>
        <v>140000</v>
      </c>
      <c r="I12" s="27">
        <f t="shared" si="1"/>
        <v>980000.00000000012</v>
      </c>
      <c r="J12" s="27">
        <f t="shared" si="2"/>
        <v>15655740.740740741</v>
      </c>
      <c r="K12" s="27">
        <f t="shared" si="7"/>
        <v>1221147.7777777778</v>
      </c>
      <c r="L12" s="27">
        <f t="shared" si="8"/>
        <v>151891996.66666666</v>
      </c>
      <c r="M12" s="35">
        <f t="shared" si="3"/>
        <v>16876888.518518519</v>
      </c>
    </row>
    <row r="13" spans="1:13" s="4" customFormat="1" ht="33" customHeight="1" x14ac:dyDescent="0.25">
      <c r="A13" s="31">
        <v>9</v>
      </c>
      <c r="B13" s="31">
        <v>11</v>
      </c>
      <c r="C13" s="48">
        <v>11000000</v>
      </c>
      <c r="D13" s="33">
        <v>15000000</v>
      </c>
      <c r="E13" s="26">
        <f t="shared" si="4"/>
        <v>0.36363636363636354</v>
      </c>
      <c r="F13" s="27">
        <f t="shared" si="5"/>
        <v>115740.74074074074</v>
      </c>
      <c r="G13" s="27">
        <f t="shared" si="6"/>
        <v>450000</v>
      </c>
      <c r="H13" s="27">
        <f t="shared" si="0"/>
        <v>150000</v>
      </c>
      <c r="I13" s="27">
        <f t="shared" si="1"/>
        <v>1050000</v>
      </c>
      <c r="J13" s="27">
        <f t="shared" si="2"/>
        <v>16765740.740740741</v>
      </c>
      <c r="K13" s="27">
        <f t="shared" si="7"/>
        <v>1307727.7777777778</v>
      </c>
      <c r="L13" s="27">
        <f t="shared" si="8"/>
        <v>162661216.66666666</v>
      </c>
      <c r="M13" s="35">
        <f t="shared" si="3"/>
        <v>18073468.518518519</v>
      </c>
    </row>
    <row r="14" spans="1:13" s="4" customFormat="1" ht="33" customHeight="1" x14ac:dyDescent="0.25">
      <c r="A14" s="31">
        <v>10</v>
      </c>
      <c r="B14" s="31">
        <v>12</v>
      </c>
      <c r="C14" s="48">
        <v>11000000</v>
      </c>
      <c r="D14" s="33">
        <v>15000000</v>
      </c>
      <c r="E14" s="26">
        <f t="shared" si="4"/>
        <v>0.36363636363636354</v>
      </c>
      <c r="F14" s="27">
        <f t="shared" si="5"/>
        <v>115740.74074074074</v>
      </c>
      <c r="G14" s="27">
        <f t="shared" si="6"/>
        <v>450000</v>
      </c>
      <c r="H14" s="27">
        <f t="shared" si="0"/>
        <v>150000</v>
      </c>
      <c r="I14" s="27">
        <f t="shared" si="1"/>
        <v>1050000</v>
      </c>
      <c r="J14" s="27">
        <f t="shared" si="2"/>
        <v>16765740.740740741</v>
      </c>
      <c r="K14" s="27">
        <f t="shared" si="7"/>
        <v>1307727.7777777778</v>
      </c>
      <c r="L14" s="27">
        <f t="shared" si="8"/>
        <v>162661216.66666666</v>
      </c>
      <c r="M14" s="35">
        <f t="shared" si="3"/>
        <v>18073468.518518519</v>
      </c>
    </row>
    <row r="15" spans="1:13" s="4" customFormat="1" ht="33" customHeight="1" x14ac:dyDescent="0.25">
      <c r="A15" s="31">
        <v>11</v>
      </c>
      <c r="B15" s="31">
        <v>13</v>
      </c>
      <c r="C15" s="48">
        <v>12000000</v>
      </c>
      <c r="D15" s="33">
        <v>16500000</v>
      </c>
      <c r="E15" s="26">
        <f t="shared" si="4"/>
        <v>0.375</v>
      </c>
      <c r="F15" s="27">
        <f t="shared" si="5"/>
        <v>115740.74074074074</v>
      </c>
      <c r="G15" s="27">
        <f t="shared" si="6"/>
        <v>495000</v>
      </c>
      <c r="H15" s="27">
        <f t="shared" si="0"/>
        <v>165000</v>
      </c>
      <c r="I15" s="27">
        <f t="shared" si="1"/>
        <v>1155000</v>
      </c>
      <c r="J15" s="27">
        <f t="shared" si="2"/>
        <v>18430740.740740743</v>
      </c>
      <c r="K15" s="27">
        <f t="shared" si="7"/>
        <v>1437597.777777778</v>
      </c>
      <c r="L15" s="27">
        <f t="shared" si="8"/>
        <v>178815046.66666669</v>
      </c>
      <c r="M15" s="35">
        <f t="shared" si="3"/>
        <v>19868338.518518522</v>
      </c>
    </row>
    <row r="16" spans="1:13" s="4" customFormat="1" ht="33" customHeight="1" x14ac:dyDescent="0.25">
      <c r="A16" s="31">
        <v>12</v>
      </c>
      <c r="B16" s="31">
        <v>14</v>
      </c>
      <c r="C16" s="48">
        <v>12000000</v>
      </c>
      <c r="D16" s="33">
        <v>16500000</v>
      </c>
      <c r="E16" s="26">
        <f t="shared" si="4"/>
        <v>0.375</v>
      </c>
      <c r="F16" s="27">
        <f t="shared" si="5"/>
        <v>115740.74074074074</v>
      </c>
      <c r="G16" s="27">
        <f t="shared" si="6"/>
        <v>495000</v>
      </c>
      <c r="H16" s="27">
        <f t="shared" si="0"/>
        <v>165000</v>
      </c>
      <c r="I16" s="27">
        <f t="shared" si="1"/>
        <v>1155000</v>
      </c>
      <c r="J16" s="27">
        <f t="shared" si="2"/>
        <v>18430740.740740743</v>
      </c>
      <c r="K16" s="27">
        <f t="shared" si="7"/>
        <v>1437597.777777778</v>
      </c>
      <c r="L16" s="27">
        <f t="shared" si="8"/>
        <v>178815046.66666669</v>
      </c>
      <c r="M16" s="35">
        <f t="shared" si="3"/>
        <v>19868338.518518522</v>
      </c>
    </row>
    <row r="17" spans="1:13" s="4" customFormat="1" ht="33" customHeight="1" x14ac:dyDescent="0.25">
      <c r="A17" s="31">
        <v>13</v>
      </c>
      <c r="B17" s="31">
        <v>15</v>
      </c>
      <c r="C17" s="48">
        <v>13000000</v>
      </c>
      <c r="D17" s="33">
        <v>18000000</v>
      </c>
      <c r="E17" s="26">
        <f t="shared" si="4"/>
        <v>0.38461538461538458</v>
      </c>
      <c r="F17" s="27">
        <f t="shared" si="5"/>
        <v>115740.74074074074</v>
      </c>
      <c r="G17" s="27">
        <f t="shared" si="6"/>
        <v>540000</v>
      </c>
      <c r="H17" s="27">
        <f t="shared" si="0"/>
        <v>180000</v>
      </c>
      <c r="I17" s="27">
        <f t="shared" si="1"/>
        <v>1260000.0000000002</v>
      </c>
      <c r="J17" s="27">
        <f t="shared" si="2"/>
        <v>20095740.740740743</v>
      </c>
      <c r="K17" s="27">
        <f t="shared" si="7"/>
        <v>1567467.777777778</v>
      </c>
      <c r="L17" s="27">
        <f t="shared" si="8"/>
        <v>194968876.66666669</v>
      </c>
      <c r="M17" s="35">
        <f t="shared" si="3"/>
        <v>21663208.518518522</v>
      </c>
    </row>
    <row r="18" spans="1:13" s="4" customFormat="1" ht="33" customHeight="1" x14ac:dyDescent="0.25">
      <c r="A18" s="31">
        <v>14</v>
      </c>
      <c r="B18" s="31">
        <v>16</v>
      </c>
      <c r="C18" s="48">
        <v>13000000</v>
      </c>
      <c r="D18" s="33">
        <v>18000000</v>
      </c>
      <c r="E18" s="26">
        <f t="shared" si="4"/>
        <v>0.38461538461538458</v>
      </c>
      <c r="F18" s="27">
        <f t="shared" si="5"/>
        <v>115740.74074074074</v>
      </c>
      <c r="G18" s="27">
        <f t="shared" si="6"/>
        <v>540000</v>
      </c>
      <c r="H18" s="27">
        <f t="shared" si="0"/>
        <v>180000</v>
      </c>
      <c r="I18" s="27">
        <f t="shared" si="1"/>
        <v>1260000.0000000002</v>
      </c>
      <c r="J18" s="27">
        <f t="shared" si="2"/>
        <v>20095740.740740743</v>
      </c>
      <c r="K18" s="27">
        <f t="shared" si="7"/>
        <v>1567467.777777778</v>
      </c>
      <c r="L18" s="27">
        <f t="shared" si="8"/>
        <v>194968876.66666669</v>
      </c>
      <c r="M18" s="35">
        <f t="shared" si="3"/>
        <v>21663208.518518522</v>
      </c>
    </row>
    <row r="19" spans="1:13" s="4" customFormat="1" ht="33" customHeight="1" x14ac:dyDescent="0.25">
      <c r="A19" s="31">
        <v>15</v>
      </c>
      <c r="B19" s="31">
        <v>17</v>
      </c>
      <c r="C19" s="48">
        <v>14000000</v>
      </c>
      <c r="D19" s="33">
        <v>19500000</v>
      </c>
      <c r="E19" s="26">
        <f t="shared" si="4"/>
        <v>0.39285714285714279</v>
      </c>
      <c r="F19" s="27">
        <f t="shared" si="5"/>
        <v>115740.74074074074</v>
      </c>
      <c r="G19" s="27">
        <f t="shared" si="6"/>
        <v>585000</v>
      </c>
      <c r="H19" s="27">
        <f t="shared" si="0"/>
        <v>195000</v>
      </c>
      <c r="I19" s="27">
        <f t="shared" si="1"/>
        <v>1365000.0000000002</v>
      </c>
      <c r="J19" s="27">
        <f t="shared" si="2"/>
        <v>21760740.740740743</v>
      </c>
      <c r="K19" s="27">
        <f t="shared" si="7"/>
        <v>1697337.777777778</v>
      </c>
      <c r="L19" s="27">
        <f t="shared" si="8"/>
        <v>211122706.66666669</v>
      </c>
      <c r="M19" s="35">
        <f t="shared" si="3"/>
        <v>23458078.518518522</v>
      </c>
    </row>
    <row r="20" spans="1:13" s="4" customFormat="1" ht="33" customHeight="1" x14ac:dyDescent="0.25">
      <c r="A20" s="31">
        <v>16</v>
      </c>
      <c r="B20" s="31">
        <v>18</v>
      </c>
      <c r="C20" s="48">
        <v>14000000</v>
      </c>
      <c r="D20" s="33">
        <v>19500000</v>
      </c>
      <c r="E20" s="26">
        <f t="shared" si="4"/>
        <v>0.39285714285714279</v>
      </c>
      <c r="F20" s="27">
        <f t="shared" si="5"/>
        <v>115740.74074074074</v>
      </c>
      <c r="G20" s="27">
        <f t="shared" si="6"/>
        <v>585000</v>
      </c>
      <c r="H20" s="27">
        <f t="shared" si="0"/>
        <v>195000</v>
      </c>
      <c r="I20" s="27">
        <f t="shared" si="1"/>
        <v>1365000.0000000002</v>
      </c>
      <c r="J20" s="27">
        <f t="shared" si="2"/>
        <v>21760740.740740743</v>
      </c>
      <c r="K20" s="27">
        <f t="shared" si="7"/>
        <v>1697337.777777778</v>
      </c>
      <c r="L20" s="27">
        <f t="shared" si="8"/>
        <v>211122706.66666669</v>
      </c>
      <c r="M20" s="35">
        <f t="shared" si="3"/>
        <v>23458078.518518522</v>
      </c>
    </row>
    <row r="21" spans="1:13" s="4" customFormat="1" ht="33" customHeight="1" x14ac:dyDescent="0.25">
      <c r="A21" s="31">
        <v>17</v>
      </c>
      <c r="B21" s="31">
        <v>19</v>
      </c>
      <c r="C21" s="48">
        <v>15000000</v>
      </c>
      <c r="D21" s="33">
        <v>20500000</v>
      </c>
      <c r="E21" s="26">
        <f t="shared" si="4"/>
        <v>0.3666666666666667</v>
      </c>
      <c r="F21" s="27">
        <f t="shared" si="5"/>
        <v>115740.74074074074</v>
      </c>
      <c r="G21" s="27">
        <f t="shared" si="6"/>
        <v>615000</v>
      </c>
      <c r="H21" s="27">
        <f t="shared" si="0"/>
        <v>205000</v>
      </c>
      <c r="I21" s="27">
        <f t="shared" si="1"/>
        <v>1435000.0000000002</v>
      </c>
      <c r="J21" s="27">
        <f t="shared" si="2"/>
        <v>22870740.740740743</v>
      </c>
      <c r="K21" s="27">
        <f t="shared" si="7"/>
        <v>1783917.777777778</v>
      </c>
      <c r="L21" s="27">
        <f t="shared" si="8"/>
        <v>221891926.66666669</v>
      </c>
      <c r="M21" s="35">
        <f t="shared" si="3"/>
        <v>24654658.518518522</v>
      </c>
    </row>
    <row r="22" spans="1:13" s="4" customFormat="1" ht="33" customHeight="1" thickBot="1" x14ac:dyDescent="0.3">
      <c r="A22" s="36">
        <v>18</v>
      </c>
      <c r="B22" s="36">
        <v>20</v>
      </c>
      <c r="C22" s="49">
        <v>15000000</v>
      </c>
      <c r="D22" s="37">
        <v>20500000</v>
      </c>
      <c r="E22" s="39">
        <f t="shared" si="4"/>
        <v>0.3666666666666667</v>
      </c>
      <c r="F22" s="40">
        <f t="shared" si="5"/>
        <v>115740.74074074074</v>
      </c>
      <c r="G22" s="40">
        <f t="shared" si="6"/>
        <v>615000</v>
      </c>
      <c r="H22" s="40">
        <f t="shared" si="0"/>
        <v>205000</v>
      </c>
      <c r="I22" s="40">
        <f t="shared" si="1"/>
        <v>1435000.0000000002</v>
      </c>
      <c r="J22" s="40">
        <f t="shared" si="2"/>
        <v>22870740.740740743</v>
      </c>
      <c r="K22" s="40">
        <f t="shared" si="7"/>
        <v>1783917.777777778</v>
      </c>
      <c r="L22" s="40">
        <f t="shared" si="8"/>
        <v>221891926.66666669</v>
      </c>
      <c r="M22" s="41">
        <f t="shared" si="3"/>
        <v>24654658.518518522</v>
      </c>
    </row>
  </sheetData>
  <mergeCells count="4">
    <mergeCell ref="A2:A4"/>
    <mergeCell ref="B2:B4"/>
    <mergeCell ref="D2:M3"/>
    <mergeCell ref="A1:M1"/>
  </mergeCells>
  <printOptions horizontalCentered="1" verticalCentered="1"/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بهای خدمات حمل‌ونقل دانش‌آموز1</vt:lpstr>
      <vt:lpstr> بهای خدمات حمل‌ونقل دانش‌آموز2</vt:lpstr>
      <vt:lpstr> بهای خدمات حمل‌ونقل دانش‌آموز3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بهاره دشتکي</dc:creator>
  <cp:lastModifiedBy>Administrator</cp:lastModifiedBy>
  <cp:lastPrinted>2026-02-18T08:07:56Z</cp:lastPrinted>
  <dcterms:created xsi:type="dcterms:W3CDTF">2024-01-13T05:33:44Z</dcterms:created>
  <dcterms:modified xsi:type="dcterms:W3CDTF">2026-08-08T04:58:48Z</dcterms:modified>
</cp:coreProperties>
</file>